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" sheetId="1" state="visible" r:id="rId1"/>
    <sheet xmlns:r="http://schemas.openxmlformats.org/officeDocument/2006/relationships" name="营收" sheetId="2" state="visible" r:id="rId2"/>
    <sheet xmlns:r="http://schemas.openxmlformats.org/officeDocument/2006/relationships" name="季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24" customWidth="1" min="5" max="5"/>
    <col width="40" customWidth="1" min="6" max="6"/>
  </cols>
  <sheetData>
    <row r="1">
      <c r="A1" s="1" t="inlineStr">
        <is>
          <t>年份</t>
        </is>
      </c>
      <c r="B1" s="1" t="inlineStr">
        <is>
          <t>扣非净利润(亿)</t>
        </is>
      </c>
      <c r="C1" s="1" t="inlineStr">
        <is>
          <t>增速</t>
        </is>
      </c>
      <c r="E1" s="2" t="inlineStr">
        <is>
          <t>估值方法判定</t>
        </is>
      </c>
      <c r="F1" s="3" t="inlineStr">
        <is>
          <t>⚠️ 无法可靠估值（太难/能力圈外）</t>
        </is>
      </c>
    </row>
    <row r="2">
      <c r="A2" t="n">
        <v>2025</v>
      </c>
      <c r="B2" t="n">
        <v>4.28</v>
      </c>
      <c r="C2" t="inlineStr">
        <is>
          <t>-5.1%</t>
        </is>
      </c>
      <c r="E2" s="4" t="inlineStr">
        <is>
          <t>企业类型</t>
        </is>
      </c>
      <c r="F2" t="inlineStr">
        <is>
          <t>模拟芯片设计(fabless)·强周期+成长</t>
        </is>
      </c>
    </row>
    <row r="3">
      <c r="A3" t="n">
        <v>2024</v>
      </c>
      <c r="B3" t="n">
        <v>4.51</v>
      </c>
      <c r="C3" t="inlineStr">
        <is>
          <t>112.7%</t>
        </is>
      </c>
      <c r="E3" s="4" t="inlineStr">
        <is>
          <t>利润特征</t>
        </is>
      </c>
      <c r="F3" t="inlineStr">
        <is>
          <t>2022峰8.47→2023谷2.12→2025 4.28，大起大落</t>
        </is>
      </c>
    </row>
    <row r="4">
      <c r="A4" t="n">
        <v>2023</v>
      </c>
      <c r="B4" t="n">
        <v>2.12</v>
      </c>
      <c r="C4" t="inlineStr">
        <is>
          <t>-75.0%</t>
        </is>
      </c>
      <c r="E4" s="4" t="inlineStr">
        <is>
          <t>老唐成长法</t>
        </is>
      </c>
      <c r="F4" t="inlineStr">
        <is>
          <t>⚠️不适用：单年套PE会在景气顶/底误判</t>
        </is>
      </c>
    </row>
    <row r="5">
      <c r="A5" t="n">
        <v>2022</v>
      </c>
      <c r="B5" t="n">
        <v>8.470000000000001</v>
      </c>
      <c r="C5" t="inlineStr">
        <is>
          <t>30.7%</t>
        </is>
      </c>
      <c r="E5" s="4" t="inlineStr">
        <is>
          <t>倾向方法</t>
        </is>
      </c>
      <c r="F5" t="inlineStr">
        <is>
          <t>归'太难'：CAPE 也不可靠（周期叠加技术/国产替代，均值锚不住）</t>
        </is>
      </c>
    </row>
    <row r="6">
      <c r="A6" t="n">
        <v>2021</v>
      </c>
      <c r="B6" t="n">
        <v>6.48</v>
      </c>
      <c r="C6" t="inlineStr">
        <is>
          <t>145.4%</t>
        </is>
      </c>
      <c r="E6" s="4" t="inlineStr">
        <is>
          <t>最终方法</t>
        </is>
      </c>
      <c r="F6" t="inlineStr">
        <is>
          <t>✅ 已判（2026-06-24 双闸门）：归太难，不给买卖点</t>
        </is>
      </c>
    </row>
    <row r="7">
      <c r="A7" t="n">
        <v>2020</v>
      </c>
      <c r="B7" t="n">
        <v>2.64</v>
      </c>
      <c r="C7" t="inlineStr">
        <is>
          <t>65.0%</t>
        </is>
      </c>
    </row>
    <row r="8">
      <c r="A8" t="n">
        <v>2019</v>
      </c>
      <c r="B8" t="n">
        <v>1.6</v>
      </c>
      <c r="C8" t="inlineStr">
        <is>
          <t>75.8%</t>
        </is>
      </c>
      <c r="E8" s="4" t="inlineStr">
        <is>
          <t>—— 席勒CAPE 仅作'价值重力'参照（非估值结论/非操作依据）——</t>
        </is>
      </c>
    </row>
    <row r="9">
      <c r="A9" t="n">
        <v>2018</v>
      </c>
      <c r="B9" t="n">
        <v>0.91</v>
      </c>
      <c r="C9" t="inlineStr">
        <is>
          <t>3.9%</t>
        </is>
      </c>
      <c r="E9" t="inlineStr">
        <is>
          <t>十年平均扣非净利(亿)</t>
        </is>
      </c>
      <c r="F9">
        <f>B12</f>
        <v/>
      </c>
    </row>
    <row r="10">
      <c r="A10" t="n">
        <v>2017</v>
      </c>
      <c r="B10" t="n">
        <v>0.88</v>
      </c>
      <c r="C10" t="inlineStr">
        <is>
          <t>12.6%</t>
        </is>
      </c>
      <c r="E10" t="inlineStr">
        <is>
          <t>合理PE下限</t>
        </is>
      </c>
      <c r="F10" t="n">
        <v>25</v>
      </c>
    </row>
    <row r="11">
      <c r="A11" t="n">
        <v>2016</v>
      </c>
      <c r="B11" t="n">
        <v>0.78</v>
      </c>
      <c r="C11" t="inlineStr">
        <is>
          <t>—</t>
        </is>
      </c>
      <c r="E11" t="inlineStr">
        <is>
          <t>合理PE上限</t>
        </is>
      </c>
      <c r="F11" t="n">
        <v>30</v>
      </c>
    </row>
    <row r="12">
      <c r="A12" s="4" t="inlineStr">
        <is>
          <t>十年均值</t>
        </is>
      </c>
      <c r="B12" s="4">
        <f>AVERAGE(B2:B11)</f>
        <v/>
      </c>
      <c r="E12" t="inlineStr">
        <is>
          <t>买点安全折扣</t>
        </is>
      </c>
      <c r="F12" t="n">
        <v>0.7</v>
      </c>
    </row>
    <row r="13">
      <c r="E13" t="inlineStr">
        <is>
          <t>卖点溢价</t>
        </is>
      </c>
      <c r="F13" t="n">
        <v>1.5</v>
      </c>
    </row>
    <row r="14">
      <c r="E14" s="4" t="inlineStr">
        <is>
          <t>买点市值(亿)</t>
        </is>
      </c>
      <c r="F14">
        <f>F9*F10*F12</f>
        <v/>
      </c>
    </row>
    <row r="15">
      <c r="E15" s="4" t="inlineStr">
        <is>
          <t>卖点市值(亿)</t>
        </is>
      </c>
      <c r="F15">
        <f>F9*F11*F13</f>
        <v/>
      </c>
    </row>
    <row r="16">
      <c r="E16" t="inlineStr">
        <is>
          <t>股本(亿股)</t>
        </is>
      </c>
      <c r="F16" t="n">
        <v>6.2006</v>
      </c>
    </row>
    <row r="17">
      <c r="E17" s="4" t="inlineStr">
        <is>
          <t>买点价(元)</t>
        </is>
      </c>
      <c r="F17">
        <f>F14/F16</f>
        <v/>
      </c>
    </row>
    <row r="18">
      <c r="E18" s="4" t="inlineStr">
        <is>
          <t>卖点价(元)</t>
        </is>
      </c>
      <c r="F18">
        <f>F15/F16</f>
        <v/>
      </c>
    </row>
    <row r="19"/>
    <row r="20">
      <c r="E20" s="3" t="inlineStr">
        <is>
          <t>注</t>
        </is>
      </c>
      <c r="F20" t="inlineStr">
        <is>
          <t>CAPE仅机械测算；是否采用CAPE/成长法/判定太难，待用户定。研发费用率27%、强周期，三大前提②③存疑。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0" customWidth="1" min="4" max="4"/>
    <col width="15" customWidth="1" min="5" max="5"/>
    <col width="18" customWidth="1" min="6" max="6"/>
  </cols>
  <sheetData>
    <row r="1">
      <c r="A1" s="5" t="inlineStr">
        <is>
          <t>年份</t>
        </is>
      </c>
      <c r="B1" s="5" t="inlineStr">
        <is>
          <t>营业总收入(亿)</t>
        </is>
      </c>
      <c r="C1" s="5" t="inlineStr">
        <is>
          <t>增速</t>
        </is>
      </c>
      <c r="D1" s="5" t="inlineStr">
        <is>
          <t>毛利率</t>
        </is>
      </c>
      <c r="E1" s="5" t="inlineStr">
        <is>
          <t>经营现金流(亿)</t>
        </is>
      </c>
      <c r="F1" s="5" t="inlineStr">
        <is>
          <t>现金含量(CFO/归母)</t>
        </is>
      </c>
    </row>
    <row r="2">
      <c r="A2" t="n">
        <v>2018</v>
      </c>
      <c r="B2" t="n">
        <v>5.72</v>
      </c>
      <c r="C2" t="inlineStr">
        <is>
          <t>7.7%</t>
        </is>
      </c>
      <c r="D2" t="n">
        <v>45.94</v>
      </c>
      <c r="E2" t="n">
        <v>0.84</v>
      </c>
      <c r="F2" t="n">
        <v>0.8100000000000001</v>
      </c>
    </row>
    <row r="3">
      <c r="A3" t="n">
        <v>2019</v>
      </c>
      <c r="B3" t="n">
        <v>7.92</v>
      </c>
      <c r="C3" t="inlineStr">
        <is>
          <t>38.5%</t>
        </is>
      </c>
      <c r="D3" t="n">
        <v>46.88</v>
      </c>
      <c r="E3" t="n">
        <v>1.45</v>
      </c>
      <c r="F3" t="n">
        <v>0.82</v>
      </c>
    </row>
    <row r="4">
      <c r="A4" t="n">
        <v>2020</v>
      </c>
      <c r="B4" t="n">
        <v>11.97</v>
      </c>
      <c r="C4" t="inlineStr">
        <is>
          <t>51.0%</t>
        </is>
      </c>
      <c r="D4" t="n">
        <v>48.73</v>
      </c>
      <c r="E4" t="n">
        <v>3.24</v>
      </c>
      <c r="F4" t="n">
        <v>1.12</v>
      </c>
    </row>
    <row r="5">
      <c r="A5" t="n">
        <v>2021</v>
      </c>
      <c r="B5" t="n">
        <v>22.38</v>
      </c>
      <c r="C5" t="inlineStr">
        <is>
          <t>87.1%</t>
        </is>
      </c>
      <c r="D5" t="n">
        <v>55.5</v>
      </c>
      <c r="E5" t="n">
        <v>7.63</v>
      </c>
      <c r="F5" t="n">
        <v>1.09</v>
      </c>
    </row>
    <row r="6">
      <c r="A6" t="n">
        <v>2022</v>
      </c>
      <c r="B6" t="n">
        <v>31.88</v>
      </c>
      <c r="C6" t="inlineStr">
        <is>
          <t>42.4%</t>
        </is>
      </c>
      <c r="D6" t="n">
        <v>58.98</v>
      </c>
      <c r="E6" t="n">
        <v>9.48</v>
      </c>
      <c r="F6" t="n">
        <v>1.08</v>
      </c>
    </row>
    <row r="7">
      <c r="A7" t="n">
        <v>2023</v>
      </c>
      <c r="B7" t="n">
        <v>26.16</v>
      </c>
      <c r="C7" t="inlineStr">
        <is>
          <t>-17.9%</t>
        </is>
      </c>
      <c r="D7" t="n">
        <v>49.6</v>
      </c>
      <c r="E7" t="n">
        <v>1.71</v>
      </c>
      <c r="F7" t="n">
        <v>0.61</v>
      </c>
    </row>
    <row r="8">
      <c r="A8" t="n">
        <v>2024</v>
      </c>
      <c r="B8" t="n">
        <v>33.47</v>
      </c>
      <c r="C8" t="inlineStr">
        <is>
          <t>28.0%</t>
        </is>
      </c>
      <c r="D8" t="n">
        <v>51.46</v>
      </c>
      <c r="E8" t="n">
        <v>5.49</v>
      </c>
      <c r="F8" t="n">
        <v>1.1</v>
      </c>
    </row>
    <row r="9">
      <c r="A9" t="n">
        <v>2025</v>
      </c>
      <c r="B9" t="n">
        <v>38.98</v>
      </c>
      <c r="C9" t="inlineStr">
        <is>
          <t>16.5%</t>
        </is>
      </c>
      <c r="D9" t="n">
        <v>50.94</v>
      </c>
      <c r="E9" t="n">
        <v>4.66</v>
      </c>
      <c r="F9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10" customWidth="1" min="6" max="6"/>
  </cols>
  <sheetData>
    <row r="1">
      <c r="A1" s="5" t="inlineStr">
        <is>
          <t>期间</t>
        </is>
      </c>
      <c r="B1" s="5" t="inlineStr">
        <is>
          <t>营收(亿)</t>
        </is>
      </c>
      <c r="C1" s="5" t="inlineStr">
        <is>
          <t>同比</t>
        </is>
      </c>
      <c r="D1" s="5" t="inlineStr">
        <is>
          <t>归母净利(亿)</t>
        </is>
      </c>
      <c r="E1" s="5" t="inlineStr">
        <is>
          <t>同比</t>
        </is>
      </c>
      <c r="F1" s="5" t="inlineStr">
        <is>
          <t>扣非(亿)</t>
        </is>
      </c>
    </row>
    <row r="2">
      <c r="A2" t="inlineStr">
        <is>
          <t>2026Q1</t>
        </is>
      </c>
      <c r="B2" t="n">
        <v>10.98</v>
      </c>
      <c r="C2" t="inlineStr">
        <is>
          <t>+39.1%</t>
        </is>
      </c>
      <c r="D2" t="n">
        <v>1.24</v>
      </c>
      <c r="E2" t="inlineStr">
        <is>
          <t>+106.96%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2026-06-24T08:54:37Z</dcterms:created>
  <dcterms:modified xmlns:dcterms="http://purl.org/dc/terms/" xmlns:xsi="http://www.w3.org/2001/XMLSchema-instance" xsi:type="dcterms:W3CDTF">2026-06-24T10:18:43Z</dcterms:modified>
</cp:coreProperties>
</file>