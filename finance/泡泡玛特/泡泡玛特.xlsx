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" sheetId="1" state="visible" r:id="rId1"/>
    <sheet xmlns:r="http://schemas.openxmlformats.org/officeDocument/2006/relationships" name="分部地区分红" sheetId="2" state="visible" r:id="rId2"/>
    <sheet xmlns:r="http://schemas.openxmlformats.org/officeDocument/2006/relationships" name="六年趋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经调整净利(亿)</t>
        </is>
      </c>
      <c r="C1" t="inlineStr">
        <is>
          <t>增速</t>
        </is>
      </c>
      <c r="D1" t="inlineStr">
        <is>
          <t>净利率</t>
        </is>
      </c>
      <c r="E1" t="inlineStr">
        <is>
          <t>情景估值(老唐法·谨慎)</t>
        </is>
      </c>
    </row>
    <row r="2">
      <c r="A2" t="n">
        <v>2025</v>
      </c>
      <c r="B2" t="n">
        <v>130.84</v>
      </c>
      <c r="C2">
        <f>(B2-B3)/B3</f>
        <v/>
      </c>
      <c r="D2" t="n">
        <v>0.352</v>
      </c>
      <c r="E2" t="inlineStr">
        <is>
          <t>股本(亿)</t>
        </is>
      </c>
      <c r="F2" t="n">
        <v>13.29</v>
      </c>
    </row>
    <row r="3">
      <c r="A3" t="n">
        <v>2024</v>
      </c>
      <c r="B3" t="n">
        <v>34.03</v>
      </c>
      <c r="C3">
        <f>(B3-B4)/B4</f>
        <v/>
      </c>
      <c r="D3" t="n">
        <v>0.261</v>
      </c>
      <c r="E3" t="inlineStr">
        <is>
          <t>合理PE</t>
        </is>
      </c>
      <c r="F3" t="n">
        <v>27.5</v>
      </c>
    </row>
    <row r="4">
      <c r="A4" t="n">
        <v>2023</v>
      </c>
      <c r="B4" t="n">
        <v>11.91</v>
      </c>
      <c r="C4">
        <f>(B4-B5)/B5</f>
        <v/>
      </c>
      <c r="D4" t="n">
        <v>0.189</v>
      </c>
      <c r="E4" t="inlineStr">
        <is>
          <t>安全边际</t>
        </is>
      </c>
      <c r="F4" t="n">
        <v>0.5</v>
      </c>
    </row>
    <row r="5">
      <c r="A5" t="n">
        <v>2022</v>
      </c>
      <c r="B5" t="n">
        <v>5.74</v>
      </c>
      <c r="C5">
        <f>(B5-B6)/B6</f>
        <v/>
      </c>
      <c r="D5" t="n">
        <v>0.124</v>
      </c>
    </row>
    <row r="6">
      <c r="A6" t="n">
        <v>2021</v>
      </c>
      <c r="B6" t="n">
        <v>10.02</v>
      </c>
      <c r="C6">
        <f>(B6-B7)/B7</f>
        <v/>
      </c>
      <c r="D6" t="n">
        <v>0.223</v>
      </c>
      <c r="E6" t="inlineStr">
        <is>
          <t>情景</t>
        </is>
      </c>
      <c r="F6" t="inlineStr">
        <is>
          <t>2026增速</t>
        </is>
      </c>
      <c r="G6" t="inlineStr">
        <is>
          <t>2026E净利</t>
        </is>
      </c>
      <c r="H6" t="inlineStr">
        <is>
          <t>前瞻增速</t>
        </is>
      </c>
      <c r="I6" t="inlineStr">
        <is>
          <t>3年后净利</t>
        </is>
      </c>
      <c r="J6" t="inlineStr">
        <is>
          <t>合理市值</t>
        </is>
      </c>
      <c r="K6" t="inlineStr">
        <is>
          <t>买点(亿)</t>
        </is>
      </c>
      <c r="L6" t="inlineStr">
        <is>
          <t>买点/股</t>
        </is>
      </c>
      <c r="M6" t="inlineStr">
        <is>
          <t>买点/港</t>
        </is>
      </c>
    </row>
    <row r="7">
      <c r="A7" t="n">
        <v>2020</v>
      </c>
      <c r="B7" t="n">
        <v>5.91</v>
      </c>
      <c r="D7" t="n">
        <v>0.235</v>
      </c>
      <c r="E7" t="inlineStr">
        <is>
          <t>保守</t>
        </is>
      </c>
      <c r="F7" t="n">
        <v>-0.15</v>
      </c>
      <c r="G7">
        <f>130.84*(1+F7)</f>
        <v/>
      </c>
      <c r="H7" t="n">
        <v>0.05</v>
      </c>
      <c r="I7">
        <f>G7*(1+H7)^3</f>
        <v/>
      </c>
      <c r="J7">
        <f>I7*$F$3</f>
        <v/>
      </c>
      <c r="K7">
        <f>J7*$F$4</f>
        <v/>
      </c>
      <c r="L7">
        <f>K7/$F$2</f>
        <v/>
      </c>
      <c r="M7">
        <f>L7/0.92</f>
        <v/>
      </c>
    </row>
    <row r="8">
      <c r="A8" t="inlineStr">
        <is>
          <t>⚠️ 警示: 2025净利130.84亿系Labubu爆款峰值(单IP占收入38%); 管理层指引2026=进站换胎/线性增长降速; 老唐估值法对爆款IP驱动的不确定业务适用性差,以下为情景测算非可靠买点</t>
        </is>
      </c>
      <c r="E8" t="inlineStr">
        <is>
          <t>中性(基准)</t>
        </is>
      </c>
      <c r="F8" t="n">
        <v>0.1</v>
      </c>
      <c r="G8">
        <f>130.84*(1+F8)</f>
        <v/>
      </c>
      <c r="H8" t="n">
        <v>0.1</v>
      </c>
      <c r="I8">
        <f>G8*(1+H8)^3</f>
        <v/>
      </c>
      <c r="J8">
        <f>I8*$F$3</f>
        <v/>
      </c>
      <c r="K8">
        <f>J8*$F$4</f>
        <v/>
      </c>
      <c r="L8">
        <f>K8/$F$2</f>
        <v/>
      </c>
      <c r="M8">
        <f>L8/0.92</f>
        <v/>
      </c>
    </row>
    <row r="9">
      <c r="E9" t="inlineStr">
        <is>
          <t>乐观</t>
        </is>
      </c>
      <c r="F9" t="n">
        <v>0.25</v>
      </c>
      <c r="G9">
        <f>130.84*(1+F9)</f>
        <v/>
      </c>
      <c r="H9" t="n">
        <v>0.15</v>
      </c>
      <c r="I9">
        <f>G9*(1+H9)^3</f>
        <v/>
      </c>
      <c r="J9">
        <f>I9*$F$3</f>
        <v/>
      </c>
      <c r="K9">
        <f>J9*$F$4</f>
        <v/>
      </c>
      <c r="L9">
        <f>K9/$F$2</f>
        <v/>
      </c>
      <c r="M9">
        <f>L9/0.92</f>
        <v/>
      </c>
    </row>
    <row r="11">
      <c r="E11" t="inlineStr">
        <is>
          <t>注: 卖点(老唐)=当年净利×50/55/60PE; 但爆款IP不宜按50PE持有, 见分析.md. 现价波动极大,需另查.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泡泡玛特 2025 年报做实数据 (单位:亿元人民币; 数据源 report/泡泡玛特/2025.pdf)</t>
        </is>
      </c>
    </row>
    <row r="3">
      <c r="A3" t="inlineStr">
        <is>
          <t>【利润口径】</t>
        </is>
      </c>
      <c r="B3" t="inlineStr">
        <is>
          <t>2025</t>
        </is>
      </c>
      <c r="C3" t="inlineStr">
        <is>
          <t>2024</t>
        </is>
      </c>
    </row>
    <row r="4">
      <c r="A4" t="inlineStr">
        <is>
          <t>年内溢利(total)</t>
        </is>
      </c>
      <c r="B4" t="n">
        <v>130.12</v>
      </c>
      <c r="C4" t="n">
        <v>33.08</v>
      </c>
    </row>
    <row r="5">
      <c r="A5" t="inlineStr">
        <is>
          <t>归母净利(本公司拥有人应占)</t>
        </is>
      </c>
      <c r="B5" t="n">
        <v>127.76</v>
      </c>
      <c r="C5" t="n">
        <v>31.25</v>
      </c>
    </row>
    <row r="6">
      <c r="A6" t="inlineStr">
        <is>
          <t>非控股权益</t>
        </is>
      </c>
      <c r="B6" t="n">
        <v>2.36</v>
      </c>
      <c r="C6" t="n">
        <v>1.83</v>
      </c>
    </row>
    <row r="7">
      <c r="A7" t="inlineStr">
        <is>
          <t>经调整纯利(non-IFRS)</t>
        </is>
      </c>
      <c r="B7" t="n">
        <v>130.84</v>
      </c>
      <c r="C7" t="n">
        <v>34.03</v>
      </c>
    </row>
    <row r="8">
      <c r="A8" t="inlineStr">
        <is>
          <t>毛利</t>
        </is>
      </c>
      <c r="B8" t="n">
        <v>267.65</v>
      </c>
      <c r="C8" t="n">
        <v>87.08</v>
      </c>
    </row>
    <row r="9">
      <c r="A9" t="inlineStr">
        <is>
          <t>毛利率</t>
        </is>
      </c>
      <c r="B9" t="inlineStr">
        <is>
          <t>72.1%</t>
        </is>
      </c>
      <c r="C9" t="inlineStr">
        <is>
          <t>66.8%</t>
        </is>
      </c>
    </row>
    <row r="11">
      <c r="A11" t="inlineStr">
        <is>
          <t>【分部】</t>
        </is>
      </c>
      <c r="B11" t="inlineStr">
        <is>
          <t>收入2025</t>
        </is>
      </c>
      <c r="C11" t="inlineStr">
        <is>
          <t>收入2024</t>
        </is>
      </c>
      <c r="D11" t="inlineStr">
        <is>
          <t>收入增速</t>
        </is>
      </c>
      <c r="E11" t="inlineStr">
        <is>
          <t>分部业绩(经营溢利)2025</t>
        </is>
      </c>
      <c r="F11" t="inlineStr">
        <is>
          <t>2024</t>
        </is>
      </c>
    </row>
    <row r="12">
      <c r="A12" t="inlineStr">
        <is>
          <t>中国业务</t>
        </is>
      </c>
      <c r="B12" t="n">
        <v>208.52</v>
      </c>
      <c r="C12" t="n">
        <v>88.86</v>
      </c>
      <c r="D12" t="inlineStr">
        <is>
          <t>+134.7%</t>
        </is>
      </c>
      <c r="E12" t="n">
        <v>104.49</v>
      </c>
      <c r="F12" t="n">
        <v>35.58</v>
      </c>
    </row>
    <row r="13">
      <c r="A13" t="inlineStr">
        <is>
          <t>海外业务(除内地/港澳台)</t>
        </is>
      </c>
      <c r="B13" t="n">
        <v>162.68</v>
      </c>
      <c r="C13" t="n">
        <v>41.51</v>
      </c>
      <c r="D13" t="inlineStr">
        <is>
          <t>+291.9%</t>
        </is>
      </c>
      <c r="E13" t="n">
        <v>80</v>
      </c>
      <c r="F13" t="n">
        <v>16.1</v>
      </c>
    </row>
    <row r="14">
      <c r="A14" t="inlineStr">
        <is>
          <t>未分配项目</t>
        </is>
      </c>
      <c r="E14" t="n">
        <v>-13.99</v>
      </c>
      <c r="F14" t="n">
        <v>-9.77</v>
      </c>
    </row>
    <row r="15">
      <c r="A15" t="inlineStr">
        <is>
          <t>合计</t>
        </is>
      </c>
      <c r="B15" t="n">
        <v>371.2</v>
      </c>
      <c r="C15" t="n">
        <v>130.38</v>
      </c>
      <c r="D15" t="inlineStr">
        <is>
          <t>+184.7%</t>
        </is>
      </c>
      <c r="E15" t="n">
        <v>170.5</v>
      </c>
      <c r="F15" t="n">
        <v>41.91</v>
      </c>
    </row>
    <row r="16">
      <c r="A16" t="inlineStr">
        <is>
          <t>海外收入占比</t>
        </is>
      </c>
      <c r="B16" t="inlineStr">
        <is>
          <t>43.8%</t>
        </is>
      </c>
      <c r="C16" t="inlineStr">
        <is>
          <t>31.8%</t>
        </is>
      </c>
    </row>
    <row r="18">
      <c r="A18" t="inlineStr">
        <is>
          <t>【海外分地区】</t>
        </is>
      </c>
      <c r="B18" t="inlineStr">
        <is>
          <t>收入2025</t>
        </is>
      </c>
      <c r="C18" t="inlineStr">
        <is>
          <t>收入2024</t>
        </is>
      </c>
      <c r="D18" t="inlineStr">
        <is>
          <t>增速</t>
        </is>
      </c>
      <c r="E18" t="inlineStr">
        <is>
          <t>门店数2025</t>
        </is>
      </c>
      <c r="F18" t="inlineStr">
        <is>
          <t>2024</t>
        </is>
      </c>
    </row>
    <row r="19">
      <c r="A19" t="inlineStr">
        <is>
          <t>亚太</t>
        </is>
      </c>
      <c r="B19" t="n">
        <v>80.11</v>
      </c>
      <c r="C19" t="n">
        <v>31.1</v>
      </c>
      <c r="D19" t="inlineStr">
        <is>
          <t>+157.6%</t>
        </is>
      </c>
      <c r="E19" t="n">
        <v>85</v>
      </c>
      <c r="F19" t="n">
        <v>54</v>
      </c>
    </row>
    <row r="20">
      <c r="A20" t="inlineStr">
        <is>
          <t>美洲</t>
        </is>
      </c>
      <c r="B20" t="n">
        <v>68.06</v>
      </c>
      <c r="C20" t="n">
        <v>8.02</v>
      </c>
      <c r="D20" t="inlineStr">
        <is>
          <t>+748.4%</t>
        </is>
      </c>
      <c r="E20" t="n">
        <v>64</v>
      </c>
      <c r="F20" t="n">
        <v>22</v>
      </c>
    </row>
    <row r="21">
      <c r="A21" t="inlineStr">
        <is>
          <t>欧洲及其他</t>
        </is>
      </c>
      <c r="B21" t="n">
        <v>14.51</v>
      </c>
      <c r="C21" t="n">
        <v>2.39</v>
      </c>
      <c r="D21" t="inlineStr">
        <is>
          <t>+506.3%</t>
        </is>
      </c>
      <c r="E21" t="n">
        <v>36</v>
      </c>
      <c r="F21" t="n">
        <v>14</v>
      </c>
    </row>
    <row r="22">
      <c r="A22" t="inlineStr">
        <is>
          <t>海外合计</t>
        </is>
      </c>
      <c r="B22" t="n">
        <v>162.68</v>
      </c>
      <c r="C22" t="n">
        <v>41.51</v>
      </c>
      <c r="D22" t="inlineStr">
        <is>
          <t>+291.9%</t>
        </is>
      </c>
    </row>
    <row r="24">
      <c r="A24" t="inlineStr">
        <is>
          <t>【分红】</t>
        </is>
      </c>
      <c r="B24" t="inlineStr">
        <is>
          <t>2025年度</t>
        </is>
      </c>
      <c r="C24" t="inlineStr">
        <is>
          <t>2024年度</t>
        </is>
      </c>
      <c r="D24" t="inlineStr">
        <is>
          <t>2023年度</t>
        </is>
      </c>
    </row>
    <row r="25">
      <c r="A25" t="inlineStr">
        <is>
          <t>每股末期股息(元)</t>
        </is>
      </c>
      <c r="B25" t="n">
        <v>2.3817</v>
      </c>
      <c r="C25" t="n">
        <v>0.8146</v>
      </c>
      <c r="D25" t="n">
        <v>0.2821</v>
      </c>
    </row>
    <row r="26">
      <c r="A26" t="inlineStr">
        <is>
          <t>股息总额(亿)</t>
        </is>
      </c>
      <c r="B26" t="n">
        <v>31.94</v>
      </c>
      <c r="C26" t="n">
        <v>10.83</v>
      </c>
      <c r="D26" t="n">
        <v>3.73</v>
      </c>
    </row>
    <row r="27">
      <c r="A27" t="inlineStr">
        <is>
          <t>派息率(/归母净利)</t>
        </is>
      </c>
      <c r="B27" t="inlineStr">
        <is>
          <t>25.0%</t>
        </is>
      </c>
      <c r="C27" t="inlineStr">
        <is>
          <t>34.7%</t>
        </is>
      </c>
      <c r="D27" t="inlineStr">
        <is>
          <t>?</t>
        </is>
      </c>
    </row>
    <row r="28">
      <c r="A28" t="inlineStr">
        <is>
          <t>备注</t>
        </is>
      </c>
      <c r="B28" t="inlineStr">
        <is>
          <t>2025末期股息2026-05-28派付; 派息率较2024(34.7%)回落但绝对额大增</t>
        </is>
      </c>
    </row>
    <row r="30">
      <c r="A30" t="inlineStr">
        <is>
          <t>【三大前提现金数】</t>
        </is>
      </c>
      <c r="B30" t="inlineStr">
        <is>
          <t>2025</t>
        </is>
      </c>
      <c r="C30" t="inlineStr">
        <is>
          <t>2024</t>
        </is>
      </c>
    </row>
    <row r="31">
      <c r="A31" t="inlineStr">
        <is>
          <t>经营活动现金净额</t>
        </is>
      </c>
      <c r="B31" t="n">
        <v>108.65</v>
      </c>
      <c r="C31" t="n">
        <v>49.54</v>
      </c>
    </row>
    <row r="32">
      <c r="A32" t="inlineStr">
        <is>
          <t>现金含量(/经调整净利)</t>
        </is>
      </c>
      <c r="B32" t="n">
        <v>0.83</v>
      </c>
      <c r="C32" t="n">
        <v>1.46</v>
      </c>
    </row>
    <row r="33">
      <c r="A33" t="inlineStr">
        <is>
          <t>资本开支(购建PPE+无形)</t>
        </is>
      </c>
      <c r="B33" t="n">
        <v>11.72</v>
      </c>
      <c r="C33" t="n">
        <v>5.17</v>
      </c>
    </row>
    <row r="34">
      <c r="A34" t="inlineStr">
        <is>
          <t>贸易应收</t>
        </is>
      </c>
      <c r="B34" t="n">
        <v>9.210000000000001</v>
      </c>
      <c r="C34" t="n">
        <v>4.78</v>
      </c>
    </row>
    <row r="35">
      <c r="A35" t="inlineStr">
        <is>
          <t>存货</t>
        </is>
      </c>
      <c r="B35" t="n">
        <v>54.73</v>
      </c>
      <c r="C35" t="n">
        <v>15.25</v>
      </c>
    </row>
    <row r="36">
      <c r="A36" t="inlineStr">
        <is>
          <t>合同负债</t>
        </is>
      </c>
      <c r="B36" t="n">
        <v>3.93</v>
      </c>
      <c r="C36" t="n">
        <v>1.89</v>
      </c>
    </row>
    <row r="37">
      <c r="A37" t="inlineStr">
        <is>
          <t>净现金(无有息借款)</t>
        </is>
      </c>
      <c r="B37" t="inlineStr">
        <is>
          <t>~175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泡泡玛特 2020-2025 六年同口径趋势 (亿元人民币; 源:各年年报+2025五年摘要; 核对日2026-06-20)</t>
        </is>
      </c>
    </row>
    <row r="3">
      <c r="A3" t="inlineStr">
        <is>
          <t>项目</t>
        </is>
      </c>
      <c r="B3" t="inlineStr">
        <is>
          <t>2020</t>
        </is>
      </c>
      <c r="C3" t="inlineStr">
        <is>
          <t>2021</t>
        </is>
      </c>
      <c r="D3" t="inlineStr">
        <is>
          <t>2022</t>
        </is>
      </c>
      <c r="E3" t="inlineStr">
        <is>
          <t>2023</t>
        </is>
      </c>
      <c r="F3" t="inlineStr">
        <is>
          <t>2024</t>
        </is>
      </c>
      <c r="G3" t="inlineStr">
        <is>
          <t>2025</t>
        </is>
      </c>
    </row>
    <row r="4">
      <c r="A4" t="inlineStr">
        <is>
          <t>收入</t>
        </is>
      </c>
      <c r="B4" t="n">
        <v>25.13</v>
      </c>
      <c r="C4" t="n">
        <v>44.91</v>
      </c>
      <c r="D4" t="n">
        <v>46.17</v>
      </c>
      <c r="E4" t="n">
        <v>63.01</v>
      </c>
      <c r="F4" t="n">
        <v>130.38</v>
      </c>
      <c r="G4" t="n">
        <v>371.2</v>
      </c>
    </row>
    <row r="5">
      <c r="A5" t="inlineStr">
        <is>
          <t>收入增速</t>
        </is>
      </c>
      <c r="B5" t="inlineStr">
        <is>
          <t>—</t>
        </is>
      </c>
      <c r="C5" t="inlineStr">
        <is>
          <t>+78.7%</t>
        </is>
      </c>
      <c r="D5" t="inlineStr">
        <is>
          <t>+2.8%</t>
        </is>
      </c>
      <c r="E5" t="inlineStr">
        <is>
          <t>+36.5%</t>
        </is>
      </c>
      <c r="F5" t="inlineStr">
        <is>
          <t>+106.9%</t>
        </is>
      </c>
      <c r="G5" t="inlineStr">
        <is>
          <t>+184.7%</t>
        </is>
      </c>
    </row>
    <row r="6">
      <c r="A6" t="inlineStr">
        <is>
          <t>毛利率</t>
        </is>
      </c>
      <c r="B6" t="inlineStr">
        <is>
          <t>63.4%</t>
        </is>
      </c>
      <c r="C6" t="inlineStr">
        <is>
          <t>61.4%</t>
        </is>
      </c>
      <c r="D6" t="inlineStr">
        <is>
          <t>57.5%</t>
        </is>
      </c>
      <c r="E6" t="inlineStr">
        <is>
          <t>61.3%</t>
        </is>
      </c>
      <c r="F6" t="inlineStr">
        <is>
          <t>66.8%</t>
        </is>
      </c>
      <c r="G6" t="inlineStr">
        <is>
          <t>72.1%</t>
        </is>
      </c>
    </row>
    <row r="7">
      <c r="A7" t="inlineStr">
        <is>
          <t>归母净利</t>
        </is>
      </c>
      <c r="B7" t="n">
        <v>5.24</v>
      </c>
      <c r="C7" t="n">
        <v>8.539999999999999</v>
      </c>
      <c r="D7" t="n">
        <v>4.76</v>
      </c>
      <c r="E7" t="n">
        <v>10.82</v>
      </c>
      <c r="F7" t="n">
        <v>31.25</v>
      </c>
      <c r="G7" t="n">
        <v>127.76</v>
      </c>
    </row>
    <row r="8">
      <c r="A8" t="inlineStr">
        <is>
          <t>经调整净利</t>
        </is>
      </c>
      <c r="B8" t="n">
        <v>5.91</v>
      </c>
      <c r="C8" t="n">
        <v>10.02</v>
      </c>
      <c r="D8" t="n">
        <v>5.74</v>
      </c>
      <c r="E8" t="n">
        <v>11.91</v>
      </c>
      <c r="F8" t="n">
        <v>34.03</v>
      </c>
      <c r="G8" t="n">
        <v>130.84</v>
      </c>
    </row>
    <row r="9">
      <c r="A9" t="inlineStr">
        <is>
          <t>经调整净利率</t>
        </is>
      </c>
      <c r="B9" t="inlineStr">
        <is>
          <t>23.5%</t>
        </is>
      </c>
      <c r="C9" t="inlineStr">
        <is>
          <t>22.3%</t>
        </is>
      </c>
      <c r="D9" t="inlineStr">
        <is>
          <t>12.4%</t>
        </is>
      </c>
      <c r="E9" t="inlineStr">
        <is>
          <t>18.9%</t>
        </is>
      </c>
      <c r="F9" t="inlineStr">
        <is>
          <t>26.1%</t>
        </is>
      </c>
      <c r="G9" t="inlineStr">
        <is>
          <t>35.2%</t>
        </is>
      </c>
    </row>
    <row r="11">
      <c r="A11" t="inlineStr">
        <is>
          <t>【海外·注意口径断点】</t>
        </is>
      </c>
    </row>
    <row r="12">
      <c r="A12" t="inlineStr">
        <is>
          <t>海外占比(港澳台及海外口径)</t>
        </is>
      </c>
      <c r="B12" t="inlineStr">
        <is>
          <t>&lt;10%</t>
        </is>
      </c>
      <c r="C12" t="inlineStr">
        <is>
          <t>~2%*</t>
        </is>
      </c>
      <c r="D12" t="inlineStr">
        <is>
          <t>9.8%</t>
        </is>
      </c>
      <c r="E12" t="inlineStr">
        <is>
          <t>16.9%</t>
        </is>
      </c>
      <c r="F12" t="inlineStr">
        <is>
          <t>38.9%</t>
        </is>
      </c>
      <c r="G12" t="inlineStr">
        <is>
          <t>n/a</t>
        </is>
      </c>
    </row>
    <row r="13">
      <c r="A13" t="inlineStr">
        <is>
          <t>海外占比(纯海外业务口径)</t>
        </is>
      </c>
      <c r="B13" t="inlineStr">
        <is>
          <t>极小</t>
        </is>
      </c>
      <c r="C13" t="inlineStr">
        <is>
          <t>~2.2%</t>
        </is>
      </c>
      <c r="D13" t="inlineStr">
        <is>
          <t>—</t>
        </is>
      </c>
      <c r="E13" t="inlineStr">
        <is>
          <t>—</t>
        </is>
      </c>
      <c r="F13" t="inlineStr">
        <is>
          <t>31.8%(重述)</t>
        </is>
      </c>
      <c r="G13" t="inlineStr">
        <is>
          <t>43.8%</t>
        </is>
      </c>
    </row>
    <row r="14">
      <c r="A14" t="inlineStr">
        <is>
          <t>注</t>
        </is>
      </c>
      <c r="B14" t="inlineStr">
        <is>
          <t>2020-24年报=「内地vs港澳台及海外」；2025改「中国业务(含港澳台)vs海外业务(纯海外)」，2024按新口径重述为31.8%</t>
        </is>
      </c>
    </row>
    <row r="16">
      <c r="A16" t="inlineStr">
        <is>
          <t>【头部IP·轮动+集中度】</t>
        </is>
      </c>
    </row>
    <row r="17">
      <c r="A17" t="inlineStr">
        <is>
          <t>第一大IP</t>
        </is>
      </c>
      <c r="B17" t="inlineStr">
        <is>
          <t>MOLLY</t>
        </is>
      </c>
      <c r="C17" t="inlineStr">
        <is>
          <t>MOLLY</t>
        </is>
      </c>
      <c r="D17" t="inlineStr">
        <is>
          <t>SKULLPANDA</t>
        </is>
      </c>
      <c r="E17" t="inlineStr">
        <is>
          <t>SKULLPANDA</t>
        </is>
      </c>
      <c r="F17" t="inlineStr">
        <is>
          <t>THE MONSTERS</t>
        </is>
      </c>
      <c r="G17" t="inlineStr">
        <is>
          <t>THE MONSTERS</t>
        </is>
      </c>
    </row>
    <row r="18">
      <c r="A18" t="inlineStr">
        <is>
          <t>第一大IP占收入</t>
        </is>
      </c>
      <c r="B18" t="inlineStr">
        <is>
          <t>14.2%</t>
        </is>
      </c>
      <c r="C18" t="inlineStr">
        <is>
          <t>15.7%</t>
        </is>
      </c>
      <c r="D18" t="inlineStr">
        <is>
          <t>18.4%</t>
        </is>
      </c>
      <c r="E18" t="inlineStr">
        <is>
          <t>16.3%</t>
        </is>
      </c>
      <c r="F18" t="inlineStr">
        <is>
          <t>23.3%</t>
        </is>
      </c>
      <c r="G18" t="inlineStr">
        <is>
          <t>38.0%</t>
        </is>
      </c>
    </row>
    <row r="19">
      <c r="A19" t="inlineStr">
        <is>
          <t>注</t>
        </is>
      </c>
      <c r="B19" t="inlineStr">
        <is>
          <t>IP轮动证明平台能反复出爆款; 但2024-25 Labubu把单IP集中度推到历史峰值38%(=集中度风险)</t>
        </is>
      </c>
    </row>
    <row r="21">
      <c r="A21" t="inlineStr">
        <is>
          <t>【分红·本年度建议末期股息口径】</t>
        </is>
      </c>
    </row>
    <row r="22">
      <c r="A22" t="inlineStr">
        <is>
          <t>每股末期股息(元)</t>
        </is>
      </c>
      <c r="B22" t="n">
        <v>0.1494</v>
      </c>
      <c r="C22" t="n">
        <v>0.1524</v>
      </c>
      <c r="D22" t="n">
        <v>0.08699999999999999</v>
      </c>
      <c r="E22" t="n">
        <v>0.2821</v>
      </c>
      <c r="F22" t="n">
        <v>0.8146</v>
      </c>
      <c r="G22" t="n">
        <v>2.3817</v>
      </c>
    </row>
    <row r="23">
      <c r="A23" t="inlineStr">
        <is>
          <t>股息总额(亿)</t>
        </is>
      </c>
      <c r="B23" t="n">
        <v>2.09</v>
      </c>
      <c r="C23" t="n">
        <v>2.14</v>
      </c>
      <c r="D23" t="n">
        <v>1.19</v>
      </c>
      <c r="E23" t="n">
        <v>3.79</v>
      </c>
      <c r="F23" t="n">
        <v>10.94</v>
      </c>
      <c r="G23" t="n">
        <v>31.94</v>
      </c>
    </row>
    <row r="24">
      <c r="A24" t="inlineStr">
        <is>
          <t>派息率(/归母)</t>
        </is>
      </c>
      <c r="B24" t="inlineStr">
        <is>
          <t>40.0%</t>
        </is>
      </c>
      <c r="C24" t="inlineStr">
        <is>
          <t>25.0%</t>
        </is>
      </c>
      <c r="D24" t="inlineStr">
        <is>
          <t>25.0%</t>
        </is>
      </c>
      <c r="E24" t="inlineStr">
        <is>
          <t>35.0%</t>
        </is>
      </c>
      <c r="F24" t="inlineStr">
        <is>
          <t>35.0%</t>
        </is>
      </c>
      <c r="G24" t="inlineStr">
        <is>
          <t>25.0%</t>
        </is>
      </c>
    </row>
    <row r="26">
      <c r="A26" t="inlineStr">
        <is>
          <t>【三大前提现金趋势】</t>
        </is>
      </c>
    </row>
    <row r="27">
      <c r="A27" t="inlineStr">
        <is>
          <t>经营活动现金净额</t>
        </is>
      </c>
      <c r="B27" t="n">
        <v>7.03</v>
      </c>
      <c r="C27" t="n">
        <v>7.79</v>
      </c>
      <c r="D27" t="n">
        <v>8.91</v>
      </c>
      <c r="E27" t="n">
        <v>19.91</v>
      </c>
      <c r="F27" t="n">
        <v>49.54</v>
      </c>
      <c r="G27" t="n">
        <v>108.65</v>
      </c>
    </row>
    <row r="28">
      <c r="A28" t="inlineStr">
        <is>
          <t>现金含量(/经调整净利)</t>
        </is>
      </c>
      <c r="B28" t="n">
        <v>1.19</v>
      </c>
      <c r="C28" t="n">
        <v>0.78</v>
      </c>
      <c r="D28" t="n">
        <v>1.55</v>
      </c>
      <c r="E28" t="n">
        <v>1.67</v>
      </c>
      <c r="F28" t="n">
        <v>1.46</v>
      </c>
      <c r="G28" t="n">
        <v>0.83</v>
      </c>
    </row>
    <row r="29">
      <c r="A29" t="inlineStr">
        <is>
          <t>资本开支(购建PPE+无形)</t>
        </is>
      </c>
      <c r="B29" t="n">
        <v>2.24</v>
      </c>
      <c r="C29" t="n">
        <v>3.34</v>
      </c>
      <c r="D29" t="n">
        <v>3.48</v>
      </c>
      <c r="E29" t="n">
        <v>3.92</v>
      </c>
      <c r="F29" t="n">
        <v>5.17</v>
      </c>
      <c r="G29" t="n">
        <v>11.72</v>
      </c>
    </row>
    <row r="30">
      <c r="A30" t="inlineStr">
        <is>
          <t>资本开支/经调整净利</t>
        </is>
      </c>
      <c r="B30" t="inlineStr">
        <is>
          <t>38%</t>
        </is>
      </c>
      <c r="C30" t="inlineStr">
        <is>
          <t>33%</t>
        </is>
      </c>
      <c r="D30" t="inlineStr">
        <is>
          <t>61%</t>
        </is>
      </c>
      <c r="E30" t="inlineStr">
        <is>
          <t>33%</t>
        </is>
      </c>
      <c r="F30" t="inlineStr">
        <is>
          <t>15%</t>
        </is>
      </c>
      <c r="G30" t="inlineStr">
        <is>
          <t>9%</t>
        </is>
      </c>
    </row>
    <row r="31">
      <c r="A31" t="inlineStr">
        <is>
          <t>存货</t>
        </is>
      </c>
      <c r="B31" t="n">
        <v>2.25</v>
      </c>
      <c r="C31" t="n">
        <v>7.89</v>
      </c>
      <c r="D31" t="n">
        <v>8.67</v>
      </c>
      <c r="E31" t="n">
        <v>9.050000000000001</v>
      </c>
      <c r="F31" t="n">
        <v>15.25</v>
      </c>
      <c r="G31" t="n">
        <v>54.73</v>
      </c>
    </row>
    <row r="32">
      <c r="A32" t="inlineStr">
        <is>
          <t>贸易应收</t>
        </is>
      </c>
      <c r="B32" t="n">
        <v>0.78</v>
      </c>
      <c r="C32" t="n">
        <v>1.71</v>
      </c>
      <c r="D32" t="n">
        <v>1.94</v>
      </c>
      <c r="E32" t="n">
        <v>3.21</v>
      </c>
      <c r="F32" t="n">
        <v>4.78</v>
      </c>
      <c r="G32" t="n">
        <v>9.210000000000001</v>
      </c>
    </row>
    <row r="33">
      <c r="A33" t="inlineStr">
        <is>
          <t>注</t>
        </is>
      </c>
      <c r="B33" t="inlineStr">
        <is>
          <t>现金含量&lt;1的两年(2021/2025)均为大幅备货扩张年; 资本开支/净利随规模降至9%(轻资产化)</t>
        </is>
      </c>
    </row>
    <row r="35">
      <c r="A35" t="inlineStr">
        <is>
          <t>* 2021海外约1亿(纯海外口径,管理层),约占2.2%; 港澳台及海外合计该年年报未单列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2026-06-19T13:00:12Z</dcterms:created>
  <dcterms:modified xmlns:dcterms="http://purl.org/dc/terms/" xmlns:xsi="http://www.w3.org/2001/XMLSchema-instance" xsi:type="dcterms:W3CDTF">2026-06-20T12:26:35Z</dcterms:modified>
</cp:coreProperties>
</file>