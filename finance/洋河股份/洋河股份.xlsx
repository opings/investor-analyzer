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27BBAE80-5AE9-4409-8AFA-C06F8C15B22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5" i="1" s="1"/>
  <c r="F12" i="1" s="1"/>
  <c r="C10" i="1"/>
  <c r="C9" i="1"/>
  <c r="C8" i="1"/>
  <c r="C7" i="1"/>
  <c r="C6" i="1"/>
  <c r="C5" i="1"/>
  <c r="C4" i="1"/>
  <c r="C3" i="1"/>
  <c r="C2" i="1"/>
  <c r="F10" i="1" l="1"/>
  <c r="F11" i="1"/>
  <c r="F7" i="1"/>
  <c r="F9" i="1" l="1"/>
  <c r="H10" i="1"/>
  <c r="K2" i="1"/>
  <c r="K5" i="1" s="1"/>
  <c r="M5" i="1" l="1"/>
  <c r="M7" i="1" s="1"/>
  <c r="K7" i="1"/>
</calcChain>
</file>

<file path=xl/sharedStrings.xml><?xml version="1.0" encoding="utf-8"?>
<sst xmlns="http://schemas.openxmlformats.org/spreadsheetml/2006/main" count="26" uniqueCount="23">
  <si>
    <t>年份</t>
  </si>
  <si>
    <t>扣非净利润（亿）</t>
  </si>
  <si>
    <t>席勒估值法</t>
  </si>
  <si>
    <t>2014~2023十年平均净利润</t>
  </si>
  <si>
    <t>估计市值</t>
  </si>
  <si>
    <t>买点</t>
    <phoneticPr fontId="2" type="noConversion"/>
  </si>
  <si>
    <t>净利润折扣</t>
    <phoneticPr fontId="2" type="noConversion"/>
  </si>
  <si>
    <t>合理pe下限(无风险收益率倒数)</t>
    <phoneticPr fontId="2" type="noConversion"/>
  </si>
  <si>
    <t>卖点</t>
    <phoneticPr fontId="2" type="noConversion"/>
  </si>
  <si>
    <t>安全边际下限</t>
    <phoneticPr fontId="2" type="noConversion"/>
  </si>
  <si>
    <t>安全边际上限</t>
    <phoneticPr fontId="2" type="noConversion"/>
  </si>
  <si>
    <t>合理pe上限(无风险收益率倒数)</t>
    <phoneticPr fontId="2" type="noConversion"/>
  </si>
  <si>
    <t>成长估值法</t>
    <phoneticPr fontId="2" type="noConversion"/>
  </si>
  <si>
    <t>当年净利润</t>
    <phoneticPr fontId="2" type="noConversion"/>
  </si>
  <si>
    <t>预估增速</t>
    <phoneticPr fontId="2" type="noConversion"/>
  </si>
  <si>
    <t>3年后净利润</t>
  </si>
  <si>
    <t>合理pe(无风险收益率倒数)</t>
  </si>
  <si>
    <t>安全边际</t>
  </si>
  <si>
    <t>卖点(50PE)</t>
    <phoneticPr fontId="2" type="noConversion"/>
  </si>
  <si>
    <t>增速</t>
    <phoneticPr fontId="2" type="noConversion"/>
  </si>
  <si>
    <t>卖点(合理估值150%)</t>
    <phoneticPr fontId="2" type="noConversion"/>
  </si>
  <si>
    <t>卖点(55PE)</t>
    <phoneticPr fontId="2" type="noConversion"/>
  </si>
  <si>
    <t>卖点(60PE)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</si>
</sst>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/>
    <xf numFmtId="9" fontId="4" fillId="0" borderId="0" xfId="0" applyNumberFormat="1" applyFont="1"/>
    <xf numFmtId="0" fontId="4" fillId="0" borderId="0" xfId="0" applyFont="1"/>
    <xf numFmtId="1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G18" sqref="G18:G19"/>
    </sheetView>
  </sheetViews>
  <sheetFormatPr defaultRowHeight="14" x14ac:dyDescent="0.3"/>
  <cols>
    <col min="2" max="2" width="23.75" bestFit="1" customWidth="1"/>
    <col min="5" max="5" width="27.33203125" bestFit="1" customWidth="1"/>
    <col min="6" max="6" width="23.4140625" bestFit="1" customWidth="1"/>
    <col min="7" max="8" width="23.4140625" customWidth="1"/>
    <col min="9" max="10" width="27.33203125" bestFit="1" customWidth="1"/>
    <col min="12" max="12" width="27.33203125" bestFit="1" customWidth="1"/>
  </cols>
  <sheetData>
    <row r="1" spans="1:14" ht="20" x14ac:dyDescent="0.4">
      <c r="A1" s="1" t="s">
        <v>0</v>
      </c>
      <c r="B1" s="1" t="s">
        <v>1</v>
      </c>
      <c r="C1" s="1" t="s">
        <v>19</v>
      </c>
      <c r="D1" s="1"/>
      <c r="E1" s="6" t="s">
        <v>12</v>
      </c>
      <c r="F1" s="6"/>
      <c r="G1" s="6"/>
      <c r="H1" s="6"/>
      <c r="I1" s="6"/>
      <c r="J1" s="6" t="s">
        <v>2</v>
      </c>
      <c r="K1" s="6"/>
      <c r="L1" s="6"/>
      <c r="M1" s="6"/>
      <c r="N1" s="6"/>
    </row>
    <row r="2" spans="1:14" x14ac:dyDescent="0.3">
      <c r="A2">
        <v>2023</v>
      </c>
      <c r="B2">
        <v>100.2</v>
      </c>
      <c r="C2" s="5">
        <f t="shared" ref="C2:C9" si="0">(B2-B3)/B3</f>
        <v>6.8458093410108778E-2</v>
      </c>
      <c r="E2" t="s">
        <v>13</v>
      </c>
      <c r="F2">
        <f>B2</f>
        <v>100.2</v>
      </c>
      <c r="J2" t="s">
        <v>3</v>
      </c>
      <c r="K2" s="7">
        <f>SUM(B2:B11)/10</f>
        <v>72.212000000000003</v>
      </c>
      <c r="L2" s="7"/>
      <c r="M2" s="7"/>
    </row>
    <row r="3" spans="1:14" x14ac:dyDescent="0.3">
      <c r="A3">
        <v>2022</v>
      </c>
      <c r="B3">
        <v>93.78</v>
      </c>
      <c r="C3" s="5">
        <f t="shared" si="0"/>
        <v>0.24906766116142787</v>
      </c>
      <c r="E3" t="s">
        <v>14</v>
      </c>
      <c r="F3" s="3">
        <v>-0.01</v>
      </c>
      <c r="G3" s="3"/>
      <c r="H3" s="3"/>
      <c r="J3" t="s">
        <v>7</v>
      </c>
      <c r="K3" s="4">
        <v>25</v>
      </c>
      <c r="L3" t="s">
        <v>11</v>
      </c>
      <c r="M3" s="4">
        <v>30</v>
      </c>
    </row>
    <row r="4" spans="1:14" x14ac:dyDescent="0.3">
      <c r="A4">
        <v>2021</v>
      </c>
      <c r="B4">
        <v>75.08</v>
      </c>
      <c r="C4" s="5">
        <f t="shared" si="0"/>
        <v>3.475006682705228E-3</v>
      </c>
      <c r="E4" t="s">
        <v>6</v>
      </c>
      <c r="F4" s="4">
        <v>1</v>
      </c>
      <c r="G4" s="4"/>
      <c r="H4" s="4"/>
      <c r="J4" t="s">
        <v>6</v>
      </c>
      <c r="K4" s="7">
        <v>1</v>
      </c>
      <c r="L4" s="7"/>
      <c r="M4" s="7"/>
    </row>
    <row r="5" spans="1:14" x14ac:dyDescent="0.3">
      <c r="A5">
        <v>2020</v>
      </c>
      <c r="B5">
        <v>74.819999999999993</v>
      </c>
      <c r="C5" s="5">
        <f t="shared" si="0"/>
        <v>1.3409183258837802E-2</v>
      </c>
      <c r="E5" t="s">
        <v>15</v>
      </c>
      <c r="F5">
        <f>F2*F4*(1+F3)*(1+F3)</f>
        <v>98.206020000000009</v>
      </c>
      <c r="J5" t="s">
        <v>4</v>
      </c>
      <c r="K5" s="2">
        <f>K2*K3*K4</f>
        <v>1805.3000000000002</v>
      </c>
      <c r="M5" s="2">
        <f>K2*M3*K4</f>
        <v>2166.36</v>
      </c>
    </row>
    <row r="6" spans="1:14" x14ac:dyDescent="0.3">
      <c r="A6">
        <v>2019</v>
      </c>
      <c r="B6">
        <v>73.83</v>
      </c>
      <c r="C6" s="5">
        <f t="shared" si="0"/>
        <v>-9.0203327171903963E-2</v>
      </c>
      <c r="E6" t="s">
        <v>16</v>
      </c>
      <c r="F6" s="4">
        <v>27.5</v>
      </c>
      <c r="G6" s="4"/>
      <c r="H6" s="4"/>
      <c r="J6" t="s">
        <v>9</v>
      </c>
      <c r="K6" s="4">
        <v>0.7</v>
      </c>
      <c r="L6" t="s">
        <v>10</v>
      </c>
      <c r="M6" s="4">
        <v>1.5</v>
      </c>
    </row>
    <row r="7" spans="1:14" x14ac:dyDescent="0.3">
      <c r="A7">
        <v>2018</v>
      </c>
      <c r="B7">
        <v>81.150000000000006</v>
      </c>
      <c r="C7" s="5">
        <f t="shared" si="0"/>
        <v>0.22453598913535552</v>
      </c>
      <c r="E7" t="s">
        <v>4</v>
      </c>
      <c r="F7">
        <f>F5*F6</f>
        <v>2700.6655500000002</v>
      </c>
      <c r="J7" t="s">
        <v>5</v>
      </c>
      <c r="K7">
        <f>K5*K6</f>
        <v>1263.71</v>
      </c>
      <c r="L7" t="s">
        <v>8</v>
      </c>
      <c r="M7">
        <f>M5*M6</f>
        <v>3249.54</v>
      </c>
    </row>
    <row r="8" spans="1:14" x14ac:dyDescent="0.3">
      <c r="A8">
        <v>2017</v>
      </c>
      <c r="B8">
        <v>66.27</v>
      </c>
      <c r="C8" s="5">
        <f t="shared" si="0"/>
        <v>0.13729191693839013</v>
      </c>
      <c r="E8" t="s">
        <v>17</v>
      </c>
      <c r="F8" s="4">
        <v>0.5</v>
      </c>
      <c r="G8" s="4"/>
      <c r="H8" s="4"/>
    </row>
    <row r="9" spans="1:14" x14ac:dyDescent="0.3">
      <c r="A9">
        <v>2016</v>
      </c>
      <c r="B9">
        <v>58.27</v>
      </c>
      <c r="C9" s="5">
        <f t="shared" si="0"/>
        <v>8.611369990680344E-2</v>
      </c>
      <c r="E9" t="s">
        <v>5</v>
      </c>
      <c r="F9">
        <f>F7*F8</f>
        <v>1350.3327750000001</v>
      </c>
    </row>
    <row r="10" spans="1:14" x14ac:dyDescent="0.3">
      <c r="A10">
        <v>2015</v>
      </c>
      <c r="B10">
        <v>53.65</v>
      </c>
      <c r="C10" s="5">
        <f>(B10-B11)/B11</f>
        <v>0.190370534723763</v>
      </c>
      <c r="E10" t="s">
        <v>18</v>
      </c>
      <c r="F10">
        <f>F5*50</f>
        <v>4910.3010000000004</v>
      </c>
      <c r="G10" t="s">
        <v>20</v>
      </c>
      <c r="H10">
        <f>F7*1.5</f>
        <v>4050.9983250000005</v>
      </c>
    </row>
    <row r="11" spans="1:14" x14ac:dyDescent="0.3">
      <c r="A11">
        <v>2014</v>
      </c>
      <c r="B11">
        <v>45.07</v>
      </c>
      <c r="E11" t="s">
        <v>21</v>
      </c>
      <c r="F11">
        <f>F5*55</f>
        <v>5401.3311000000003</v>
      </c>
    </row>
    <row r="12" spans="1:14" x14ac:dyDescent="0.3">
      <c r="E12" t="s">
        <v>22</v>
      </c>
      <c r="F12">
        <f>F5*60</f>
        <v>5892.3612000000003</v>
      </c>
    </row>
  </sheetData>
  <mergeCells count="4">
    <mergeCell ref="J1:N1"/>
    <mergeCell ref="K2:M2"/>
    <mergeCell ref="K4:M4"/>
    <mergeCell ref="E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yz zhao</cp:lastModifiedBy>
  <dcterms:created xsi:type="dcterms:W3CDTF">2015-06-05T18:19:34Z</dcterms:created>
  <dcterms:modified xsi:type="dcterms:W3CDTF">2024-08-30T01:59:12Z</dcterms:modified>
</cp:coreProperties>
</file>