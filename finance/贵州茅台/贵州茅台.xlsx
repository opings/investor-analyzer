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60"/>
  </bookViews>
  <sheets>
    <sheet name="估值" sheetId="1" r:id="rId1"/>
    <sheet name="利润估算" sheetId="2" r:id="rId2"/>
    <sheet name="基酒" sheetId="3" r:id="rId3"/>
    <sheet name="季度" sheetId="4" r:id="rId4"/>
    <sheet name="季度占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<sst xmlns="http://schemas.openxmlformats.org/spreadsheetml/2006/main" count="159" uniqueCount="87">
  <si>
    <t>年份</t>
  </si>
  <si>
    <t>扣非净利润（亿）</t>
  </si>
  <si>
    <t>增速</t>
  </si>
  <si>
    <t>成长估值法</t>
  </si>
  <si>
    <t>买卖点历史</t>
  </si>
  <si>
    <t>当年净利(2026E)</t>
  </si>
  <si>
    <t>日期</t>
  </si>
  <si>
    <t>股本（亿）</t>
  </si>
  <si>
    <t>买点(亿)</t>
  </si>
  <si>
    <t>价格</t>
  </si>
  <si>
    <t>卖点一(亿)/价格</t>
  </si>
  <si>
    <t>卖点二(亿)/价格</t>
  </si>
  <si>
    <t>卖点三(亿)/价格</t>
  </si>
  <si>
    <t>2026增速(见季度占比表)</t>
  </si>
  <si>
    <t>前瞻增速(2027-29)</t>
  </si>
  <si>
    <t>净利润折扣</t>
  </si>
  <si>
    <t>3年后净利(2029)</t>
  </si>
  <si>
    <t>合理pe(无风险倒数)</t>
  </si>
  <si>
    <t>三年后合理市值</t>
  </si>
  <si>
    <t>安全边际</t>
  </si>
  <si>
    <t>买点</t>
  </si>
  <si>
    <t>卖点一(当年×50PE)</t>
  </si>
  <si>
    <t>卖点二(当年×55PE)</t>
  </si>
  <si>
    <t>卖点三(当年×60PE)</t>
  </si>
  <si>
    <t>2024利润计算</t>
  </si>
  <si>
    <t>预估营收增长</t>
  </si>
  <si>
    <t>科目</t>
  </si>
  <si>
    <t>2023年</t>
  </si>
  <si>
    <t>披露的增加计划</t>
  </si>
  <si>
    <t>营业收入</t>
  </si>
  <si>
    <t>财司利息收入</t>
  </si>
  <si>
    <t>营业成本</t>
  </si>
  <si>
    <t>税金附加(跟着营收增长而增长)</t>
  </si>
  <si>
    <t>销管研费用</t>
  </si>
  <si>
    <t>财务费用</t>
  </si>
  <si>
    <t>营业利润</t>
  </si>
  <si>
    <t>所得税(25%)</t>
  </si>
  <si>
    <t>净利润</t>
  </si>
  <si>
    <t>少数股东权益</t>
  </si>
  <si>
    <t>归母净利润</t>
  </si>
  <si>
    <t>2025利润计算</t>
  </si>
  <si>
    <t>2024年</t>
  </si>
  <si>
    <t>2026利润计算</t>
  </si>
  <si>
    <t>预估营收增长↓ (归母锚定2025实际×营收增速·用25年数据预估·茅台未披露26计划)</t>
  </si>
  <si>
    <t>2025年</t>
  </si>
  <si>
    <t>(2026未披露)</t>
  </si>
  <si>
    <t>所得税(倒推≈25.6%)</t>
  </si>
  <si>
    <t>茅台酒</t>
  </si>
  <si>
    <t>系列酒</t>
  </si>
  <si>
    <t>销量</t>
  </si>
  <si>
    <t>产能</t>
  </si>
  <si>
    <t>占比</t>
  </si>
  <si>
    <t>实际销售</t>
  </si>
  <si>
    <t>实际产能</t>
  </si>
  <si>
    <t>计划产能</t>
  </si>
  <si>
    <t>季度</t>
  </si>
  <si>
    <t>收入（人名币-亿）</t>
  </si>
  <si>
    <t>合计</t>
  </si>
  <si>
    <t>直销</t>
  </si>
  <si>
    <t>批发</t>
  </si>
  <si>
    <t>Q1</t>
  </si>
  <si>
    <t>一季度合计</t>
  </si>
  <si>
    <t>Q2</t>
  </si>
  <si>
    <t>二季度合计</t>
  </si>
  <si>
    <t>Q3</t>
  </si>
  <si>
    <t>三季度合计</t>
  </si>
  <si>
    <t>Q4</t>
  </si>
  <si>
    <t>四季度合计</t>
  </si>
  <si>
    <t>Q1营收(亿)</t>
  </si>
  <si>
    <t>全年营收(亿)</t>
  </si>
  <si>
    <t>Q1营收占比</t>
  </si>
  <si>
    <t>Q1归母(亿)</t>
  </si>
  <si>
    <t>全年归母(亿)</t>
  </si>
  <si>
    <t>Q1归母占比</t>
  </si>
  <si>
    <t>备注</t>
  </si>
  <si>
    <t>前高后低·Q4塌方-30%·Q1占比飙升</t>
  </si>
  <si>
    <t>2026 Q1实际(扣非272.40/归母272.43,+1.45%)</t>
  </si>
  <si>
    <t>均值16-24</t>
  </si>
  <si>
    <t>正常年份基准(剔除2025下行年)</t>
  </si>
  <si>
    <t>2025(下行年)</t>
  </si>
  <si>
    <t>下行年占比·2026参照</t>
  </si>
  <si>
    <t>2026E测算</t>
  </si>
  <si>
    <t>2026E归母 = Q1归母272.43 / 假设Q1占比</t>
  </si>
  <si>
    <t>持平0%(采用)</t>
  </si>
  <si>
    <t>2026E归母(亿)</t>
  </si>
  <si>
    <t>-3%</t>
  </si>
  <si>
    <t>-5%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</si>
</sst>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  <numFmt numFmtId="178" formatCode="0.00_);[Red]\(0.00\)"/>
  </numFmts>
  <fonts count="27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b/>
      <sz val="2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4" borderId="7">
      <alignment vertical="center"/>
    </xf>
    <xf numFmtId="0" fontId="17" fillId="5" borderId="8">
      <alignment vertical="center"/>
    </xf>
    <xf numFmtId="0" fontId="18" fillId="5" borderId="7">
      <alignment vertical="center"/>
    </xf>
    <xf numFmtId="0" fontId="19" fillId="6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1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76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6" fillId="0" borderId="0" xfId="0" applyNumberFormat="1" applyFont="1"/>
    <xf numFmtId="176" fontId="0" fillId="0" borderId="0" xfId="0" applyNumberFormat="1"/>
    <xf numFmtId="177" fontId="6" fillId="0" borderId="0" xfId="0" applyNumberFormat="1" applyFont="1"/>
    <xf numFmtId="176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6" fillId="0" borderId="1" xfId="0" applyFont="1" applyBorder="1"/>
    <xf numFmtId="10" fontId="6" fillId="0" borderId="1" xfId="0" applyNumberFormat="1" applyFont="1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9" fontId="6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78" fontId="0" fillId="0" borderId="1" xfId="0" applyNumberFormat="1" applyBorder="1" applyAlignment="1">
      <alignment horizontal="left" vertical="top"/>
    </xf>
    <xf numFmtId="178" fontId="7" fillId="0" borderId="1" xfId="0" applyNumberFormat="1" applyFont="1" applyBorder="1"/>
    <xf numFmtId="178" fontId="0" fillId="0" borderId="1" xfId="0" applyNumberFormat="1" applyBorder="1"/>
    <xf numFmtId="178" fontId="0" fillId="2" borderId="1" xfId="0" applyNumberFormat="1" applyFill="1" applyBorder="1"/>
    <xf numFmtId="178" fontId="2" fillId="2" borderId="1" xfId="0" applyNumberFormat="1" applyFont="1" applyFill="1" applyBorder="1"/>
    <xf numFmtId="178" fontId="6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G16" sqref="G16"/>
    </sheetView>
  </sheetViews>
  <sheetFormatPr defaultColWidth="9" defaultRowHeight="16.8"/>
  <cols>
    <col min="1" max="1" width="6.83035714285714" customWidth="1"/>
    <col min="2" max="2" width="23.75" customWidth="1"/>
    <col min="3" max="3" width="6.83035714285714" customWidth="1"/>
    <col min="5" max="5" width="23.4107142857143" customWidth="1"/>
    <col min="6" max="6" width="10.1607142857143" customWidth="1"/>
    <col min="7" max="7" width="17.5803571428571" customWidth="1"/>
    <col min="8" max="8" width="14.25" customWidth="1"/>
    <col min="10" max="10" width="11.2857142857143" customWidth="1"/>
    <col min="12" max="12" width="10.6428571428571" customWidth="1"/>
    <col min="14" max="14" width="14.1607142857143" customWidth="1"/>
    <col min="16" max="16" width="14.1607142857143" customWidth="1"/>
    <col min="18" max="18" width="14.1607142857143" customWidth="1"/>
    <col min="19" max="19" width="9.57142857142857" customWidth="1"/>
  </cols>
  <sheetData>
    <row r="1" ht="23.2" customHeight="1" spans="1:19">
      <c r="A1" s="12" t="s">
        <v>0</v>
      </c>
      <c r="B1" s="12" t="s">
        <v>1</v>
      </c>
      <c r="C1" s="12" t="s">
        <v>2</v>
      </c>
      <c r="D1" s="13"/>
      <c r="E1" s="18" t="s">
        <v>3</v>
      </c>
      <c r="F1" s="19"/>
      <c r="G1" s="20"/>
      <c r="H1" s="14"/>
      <c r="J1" s="22" t="s">
        <v>4</v>
      </c>
      <c r="K1" s="19"/>
      <c r="L1" s="19"/>
      <c r="M1" s="19"/>
      <c r="N1" s="19"/>
      <c r="O1" s="19"/>
      <c r="P1" s="19"/>
      <c r="Q1" s="19"/>
      <c r="R1" s="19"/>
      <c r="S1" s="20"/>
    </row>
    <row r="2" spans="1:19">
      <c r="A2" s="14">
        <v>2025</v>
      </c>
      <c r="B2" s="15">
        <v>822.93</v>
      </c>
      <c r="C2" s="16">
        <f t="shared" ref="C2:C12" si="0">(B2-B3)/B3</f>
        <v>-0.0456569639336658</v>
      </c>
      <c r="E2" s="14" t="s">
        <v>5</v>
      </c>
      <c r="F2" s="14">
        <f>B2*(1+F3)</f>
        <v>822.93</v>
      </c>
      <c r="G2" s="14"/>
      <c r="H2" s="14"/>
      <c r="J2" s="23" t="s">
        <v>6</v>
      </c>
      <c r="K2" s="23" t="s">
        <v>7</v>
      </c>
      <c r="L2" s="14" t="s">
        <v>8</v>
      </c>
      <c r="M2" s="14" t="s">
        <v>9</v>
      </c>
      <c r="N2" s="14" t="s">
        <v>10</v>
      </c>
      <c r="O2" s="14" t="s">
        <v>9</v>
      </c>
      <c r="P2" s="14" t="s">
        <v>11</v>
      </c>
      <c r="Q2" s="14" t="s">
        <v>9</v>
      </c>
      <c r="R2" s="14" t="s">
        <v>12</v>
      </c>
      <c r="S2" s="14" t="s">
        <v>9</v>
      </c>
    </row>
    <row r="3" spans="1:19">
      <c r="A3" s="14">
        <v>2024</v>
      </c>
      <c r="B3" s="14">
        <v>862.3</v>
      </c>
      <c r="C3" s="17">
        <f t="shared" si="0"/>
        <v>0.153887327713101</v>
      </c>
      <c r="E3" s="14" t="s">
        <v>13</v>
      </c>
      <c r="F3" s="21">
        <v>0</v>
      </c>
      <c r="G3" s="14"/>
      <c r="H3" s="14"/>
      <c r="J3" s="24">
        <v>45401</v>
      </c>
      <c r="K3" s="25">
        <v>12.56</v>
      </c>
      <c r="L3" s="26">
        <v>14000</v>
      </c>
      <c r="M3" s="26">
        <f>L3/K3</f>
        <v>1114.64968152866</v>
      </c>
      <c r="N3" s="26">
        <v>41000</v>
      </c>
      <c r="O3" s="26">
        <f>N3/K3</f>
        <v>3264.33121019108</v>
      </c>
      <c r="P3" s="26">
        <f>N3*1.1</f>
        <v>45100</v>
      </c>
      <c r="Q3" s="26">
        <f>P3/K3</f>
        <v>3590.76433121019</v>
      </c>
      <c r="R3" s="26">
        <f>P3*1.1</f>
        <v>49610</v>
      </c>
      <c r="S3" s="27">
        <f>R3/K3</f>
        <v>3949.84076433121</v>
      </c>
    </row>
    <row r="4" spans="1:19">
      <c r="A4" s="14">
        <v>2023</v>
      </c>
      <c r="B4" s="14">
        <v>747.3</v>
      </c>
      <c r="C4" s="17">
        <f t="shared" si="0"/>
        <v>0.191485969387755</v>
      </c>
      <c r="E4" s="14" t="s">
        <v>14</v>
      </c>
      <c r="F4" s="15">
        <v>0.05</v>
      </c>
      <c r="G4" s="14"/>
      <c r="H4" s="14"/>
      <c r="J4" s="24">
        <v>45786</v>
      </c>
      <c r="K4" s="25">
        <v>12.56</v>
      </c>
      <c r="L4" s="25">
        <v>15000</v>
      </c>
      <c r="M4" s="26">
        <f>L4/K4</f>
        <v>1194.26751592357</v>
      </c>
      <c r="N4" s="27">
        <v>46000</v>
      </c>
      <c r="O4" s="26">
        <f>N4/K4</f>
        <v>3662.42038216561</v>
      </c>
      <c r="P4" s="26">
        <f>N4*1.1</f>
        <v>50600</v>
      </c>
      <c r="Q4" s="26">
        <f>P4/K4</f>
        <v>4028.66242038217</v>
      </c>
      <c r="R4" s="26">
        <f>P4*1.1</f>
        <v>55660</v>
      </c>
      <c r="S4" s="27">
        <f>R4/K4</f>
        <v>4431.52866242038</v>
      </c>
    </row>
    <row r="5" spans="1:19">
      <c r="A5" s="14">
        <v>2022</v>
      </c>
      <c r="B5" s="14">
        <v>627.2</v>
      </c>
      <c r="C5" s="17">
        <f t="shared" si="0"/>
        <v>0.19557758292032</v>
      </c>
      <c r="E5" s="14" t="s">
        <v>15</v>
      </c>
      <c r="F5" s="14">
        <v>1</v>
      </c>
      <c r="G5" s="14"/>
      <c r="H5" s="14"/>
      <c r="J5" s="24">
        <v>46192</v>
      </c>
      <c r="K5" s="25">
        <v>12.523</v>
      </c>
      <c r="L5" s="25">
        <v>13099</v>
      </c>
      <c r="M5" s="25">
        <f>L5/K5</f>
        <v>1045.99536852192</v>
      </c>
      <c r="N5" s="28">
        <v>41146</v>
      </c>
      <c r="O5" s="28">
        <f>N5/K5</f>
        <v>3285.63443264394</v>
      </c>
      <c r="P5" s="29">
        <v>45261</v>
      </c>
      <c r="Q5" s="29">
        <f>P5/K5</f>
        <v>3614.22981713647</v>
      </c>
      <c r="R5" s="29">
        <v>49376</v>
      </c>
      <c r="S5" s="28">
        <f>R5/K5</f>
        <v>3942.825201629</v>
      </c>
    </row>
    <row r="6" spans="1:19">
      <c r="A6" s="14">
        <v>2021</v>
      </c>
      <c r="B6" s="14">
        <v>524.6</v>
      </c>
      <c r="C6" s="17">
        <f t="shared" si="0"/>
        <v>0.123340471092077</v>
      </c>
      <c r="E6" s="14" t="s">
        <v>16</v>
      </c>
      <c r="F6" s="15">
        <f>F2*F5*(1+F4)^3</f>
        <v>952.64434125</v>
      </c>
      <c r="G6" s="14"/>
      <c r="H6" s="14"/>
      <c r="J6" s="23"/>
      <c r="K6" s="25"/>
      <c r="L6" s="25"/>
      <c r="M6" s="25"/>
      <c r="N6" s="27"/>
      <c r="O6" s="27"/>
      <c r="P6" s="30"/>
      <c r="Q6" s="30"/>
      <c r="R6" s="30"/>
      <c r="S6" s="27"/>
    </row>
    <row r="7" spans="1:19">
      <c r="A7" s="14">
        <v>2020</v>
      </c>
      <c r="B7" s="14">
        <v>467</v>
      </c>
      <c r="C7" s="17">
        <f t="shared" si="0"/>
        <v>0.133220092210628</v>
      </c>
      <c r="E7" s="14" t="s">
        <v>17</v>
      </c>
      <c r="F7" s="14">
        <v>27.5</v>
      </c>
      <c r="G7" s="14"/>
      <c r="H7" s="14"/>
      <c r="J7" s="23"/>
      <c r="K7" s="25"/>
      <c r="L7" s="25"/>
      <c r="M7" s="25"/>
      <c r="N7" s="27"/>
      <c r="O7" s="27"/>
      <c r="P7" s="27"/>
      <c r="Q7" s="27"/>
      <c r="R7" s="27"/>
      <c r="S7" s="27"/>
    </row>
    <row r="8" spans="1:19">
      <c r="A8" s="14">
        <v>2019</v>
      </c>
      <c r="B8" s="14">
        <v>412.1</v>
      </c>
      <c r="C8" s="17">
        <f t="shared" si="0"/>
        <v>0.170738636363636</v>
      </c>
      <c r="E8" s="14" t="s">
        <v>18</v>
      </c>
      <c r="F8" s="15">
        <f>F6*F7</f>
        <v>26197.719384375</v>
      </c>
      <c r="G8" s="14"/>
      <c r="H8" s="14"/>
      <c r="J8" s="23"/>
      <c r="K8" s="25"/>
      <c r="L8" s="25"/>
      <c r="M8" s="25"/>
      <c r="N8" s="27"/>
      <c r="O8" s="27"/>
      <c r="P8" s="27"/>
      <c r="Q8" s="27"/>
      <c r="R8" s="27"/>
      <c r="S8" s="27"/>
    </row>
    <row r="9" spans="1:19">
      <c r="A9" s="14">
        <v>2018</v>
      </c>
      <c r="B9" s="14">
        <v>352</v>
      </c>
      <c r="C9" s="17">
        <f t="shared" si="0"/>
        <v>0.299852289512555</v>
      </c>
      <c r="E9" s="14" t="s">
        <v>19</v>
      </c>
      <c r="F9" s="14">
        <v>0.5</v>
      </c>
      <c r="G9" s="14"/>
      <c r="H9" s="14"/>
      <c r="J9" s="23"/>
      <c r="K9" s="25"/>
      <c r="L9" s="25"/>
      <c r="M9" s="25"/>
      <c r="N9" s="27"/>
      <c r="O9" s="27"/>
      <c r="P9" s="27"/>
      <c r="Q9" s="27"/>
      <c r="R9" s="27"/>
      <c r="S9" s="27"/>
    </row>
    <row r="10" spans="1:19">
      <c r="A10" s="14">
        <v>2017</v>
      </c>
      <c r="B10" s="14">
        <v>270.8</v>
      </c>
      <c r="C10" s="17">
        <f t="shared" si="0"/>
        <v>0.619617224880383</v>
      </c>
      <c r="E10" s="14" t="s">
        <v>20</v>
      </c>
      <c r="F10" s="14">
        <f>F8*F9</f>
        <v>13098.8596921875</v>
      </c>
      <c r="G10" s="14"/>
      <c r="H10" s="14"/>
      <c r="J10" s="23"/>
      <c r="K10" s="25"/>
      <c r="L10" s="25"/>
      <c r="M10" s="25"/>
      <c r="N10" s="27"/>
      <c r="O10" s="27"/>
      <c r="P10" s="27"/>
      <c r="Q10" s="27"/>
      <c r="R10" s="27"/>
      <c r="S10" s="27"/>
    </row>
    <row r="11" spans="1:19">
      <c r="A11" s="14">
        <v>2016</v>
      </c>
      <c r="B11" s="14">
        <v>167.2</v>
      </c>
      <c r="C11" s="17">
        <f t="shared" si="0"/>
        <v>0.0787096774193548</v>
      </c>
      <c r="E11" s="14" t="s">
        <v>21</v>
      </c>
      <c r="F11" s="14">
        <f>F2*50</f>
        <v>41146.5</v>
      </c>
      <c r="G11" s="14"/>
      <c r="H11" s="14"/>
      <c r="J11" s="23"/>
      <c r="K11" s="25"/>
      <c r="L11" s="25"/>
      <c r="M11" s="25"/>
      <c r="N11" s="27"/>
      <c r="O11" s="27"/>
      <c r="P11" s="27"/>
      <c r="Q11" s="27"/>
      <c r="R11" s="27"/>
      <c r="S11" s="27"/>
    </row>
    <row r="12" spans="1:19">
      <c r="A12" s="14">
        <v>2015</v>
      </c>
      <c r="B12" s="14">
        <v>155</v>
      </c>
      <c r="C12" s="17">
        <f t="shared" si="0"/>
        <v>0.00977198697068404</v>
      </c>
      <c r="E12" s="14" t="s">
        <v>22</v>
      </c>
      <c r="F12" s="14">
        <f>F2*55</f>
        <v>45261.15</v>
      </c>
      <c r="G12" s="14"/>
      <c r="H12" s="14"/>
      <c r="J12" s="23"/>
      <c r="K12" s="25"/>
      <c r="L12" s="25"/>
      <c r="M12" s="25"/>
      <c r="N12" s="27"/>
      <c r="O12" s="27"/>
      <c r="P12" s="27"/>
      <c r="Q12" s="27"/>
      <c r="R12" s="27"/>
      <c r="S12" s="27"/>
    </row>
    <row r="13" spans="1:19">
      <c r="A13" s="14">
        <v>2014</v>
      </c>
      <c r="B13" s="14">
        <v>153.5</v>
      </c>
      <c r="C13" s="14"/>
      <c r="E13" t="s">
        <v>23</v>
      </c>
      <c r="F13">
        <f>F2*60</f>
        <v>49375.8</v>
      </c>
      <c r="J13" s="23"/>
      <c r="K13" s="25"/>
      <c r="L13" s="25"/>
      <c r="M13" s="25"/>
      <c r="N13" s="27"/>
      <c r="O13" s="27"/>
      <c r="P13" s="27"/>
      <c r="Q13" s="27"/>
      <c r="R13" s="27"/>
      <c r="S13" s="27"/>
    </row>
    <row r="14" spans="1:19">
      <c r="A14" s="14"/>
      <c r="B14" s="14"/>
      <c r="C14" s="14"/>
      <c r="J14" s="23"/>
      <c r="K14" s="25"/>
      <c r="L14" s="25"/>
      <c r="M14" s="25"/>
      <c r="N14" s="27"/>
      <c r="O14" s="27"/>
      <c r="P14" s="27"/>
      <c r="Q14" s="27"/>
      <c r="R14" s="27"/>
      <c r="S14" s="27"/>
    </row>
    <row r="15" spans="1:3">
      <c r="A15" s="14"/>
      <c r="B15" s="14"/>
      <c r="C15" s="14"/>
    </row>
  </sheetData>
  <mergeCells count="2">
    <mergeCell ref="E1:G1"/>
    <mergeCell ref="J1:S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17" workbookViewId="0">
      <selection activeCell="H27" sqref="H27"/>
    </sheetView>
  </sheetViews>
  <sheetFormatPr defaultColWidth="9" defaultRowHeight="16.8" outlineLevelCol="4"/>
  <cols>
    <col min="1" max="1" width="27.1607142857143" customWidth="1"/>
    <col min="3" max="3" width="14.5803571428571" customWidth="1"/>
    <col min="4" max="4" width="9.66071428571429" customWidth="1"/>
    <col min="5" max="5" width="9.57142857142857" customWidth="1"/>
    <col min="9" max="9" width="12.7857142857143" customWidth="1"/>
    <col min="11" max="11" width="10.5714285714286" customWidth="1"/>
    <col min="14" max="15" width="9.57142857142857" customWidth="1"/>
  </cols>
  <sheetData>
    <row r="1" ht="31" customHeight="1" spans="2:2">
      <c r="B1" s="6" t="s">
        <v>24</v>
      </c>
    </row>
    <row r="2" ht="19" customHeight="1" spans="4:4">
      <c r="D2" s="7" t="s">
        <v>25</v>
      </c>
    </row>
    <row r="3" spans="1:5">
      <c r="A3" s="3" t="s">
        <v>26</v>
      </c>
      <c r="B3" t="s">
        <v>27</v>
      </c>
      <c r="C3" t="s">
        <v>28</v>
      </c>
      <c r="D3" s="8">
        <v>0.15</v>
      </c>
      <c r="E3" s="8">
        <v>0.18</v>
      </c>
    </row>
    <row r="4" spans="1:5">
      <c r="A4" s="3" t="s">
        <v>29</v>
      </c>
      <c r="B4">
        <v>1477</v>
      </c>
      <c r="C4" s="8">
        <v>0.15</v>
      </c>
      <c r="D4" s="9">
        <f>B4*(1+C4)</f>
        <v>1698.55</v>
      </c>
      <c r="E4" s="9">
        <f>B4*(1+E3)</f>
        <v>1742.86</v>
      </c>
    </row>
    <row r="5" spans="1:5">
      <c r="A5" s="3" t="s">
        <v>30</v>
      </c>
      <c r="B5">
        <v>29</v>
      </c>
      <c r="D5" s="9">
        <f>29</f>
        <v>29</v>
      </c>
      <c r="E5" s="9">
        <f>29</f>
        <v>29</v>
      </c>
    </row>
    <row r="6" spans="1:5">
      <c r="A6" s="3" t="s">
        <v>31</v>
      </c>
      <c r="B6">
        <v>119</v>
      </c>
      <c r="C6" s="8">
        <v>0.15</v>
      </c>
      <c r="D6" s="9">
        <f>B6*(1+C6)</f>
        <v>136.85</v>
      </c>
      <c r="E6" s="9">
        <f>B6*(1+C6)</f>
        <v>136.85</v>
      </c>
    </row>
    <row r="7" spans="1:5">
      <c r="A7" s="3" t="s">
        <v>32</v>
      </c>
      <c r="B7">
        <v>222</v>
      </c>
      <c r="D7" s="9">
        <f>B7*(1+D3)</f>
        <v>255.3</v>
      </c>
      <c r="E7" s="9">
        <f>B7*(1+E3)</f>
        <v>261.96</v>
      </c>
    </row>
    <row r="8" spans="1:5">
      <c r="A8" s="3" t="s">
        <v>33</v>
      </c>
      <c r="B8">
        <f>46+97+2</f>
        <v>145</v>
      </c>
      <c r="C8" s="8">
        <v>0.13</v>
      </c>
      <c r="D8" s="9">
        <f>B8*(1+C8)</f>
        <v>163.85</v>
      </c>
      <c r="E8" s="9">
        <f>B8*(1+C8)</f>
        <v>163.85</v>
      </c>
    </row>
    <row r="9" spans="1:5">
      <c r="A9" s="3" t="s">
        <v>34</v>
      </c>
      <c r="B9">
        <v>-18</v>
      </c>
      <c r="D9" s="9">
        <v>-18</v>
      </c>
      <c r="E9" s="9">
        <v>-18</v>
      </c>
    </row>
    <row r="10" spans="1:5">
      <c r="A10" s="3" t="s">
        <v>35</v>
      </c>
      <c r="B10">
        <v>1037</v>
      </c>
      <c r="D10" s="9">
        <f>D4+D5-D6-D7-D8-D9</f>
        <v>1189.55</v>
      </c>
      <c r="E10" s="9">
        <f>E4+E5-E6-E7-E8-E9</f>
        <v>1227.2</v>
      </c>
    </row>
    <row r="11" spans="1:5">
      <c r="A11" s="3" t="s">
        <v>36</v>
      </c>
      <c r="B11">
        <v>261</v>
      </c>
      <c r="C11" s="8">
        <v>0.25</v>
      </c>
      <c r="D11" s="9">
        <f>D10*C11</f>
        <v>297.3875</v>
      </c>
      <c r="E11" s="9">
        <f>E10*C11</f>
        <v>306.8</v>
      </c>
    </row>
    <row r="12" spans="1:5">
      <c r="A12" s="3" t="s">
        <v>37</v>
      </c>
      <c r="B12">
        <v>775</v>
      </c>
      <c r="D12" s="9">
        <f>D10-D11</f>
        <v>892.1625</v>
      </c>
      <c r="E12" s="9">
        <f>E10-E11</f>
        <v>920.4</v>
      </c>
    </row>
    <row r="13" spans="1:5">
      <c r="A13" s="3" t="s">
        <v>38</v>
      </c>
      <c r="B13">
        <v>28</v>
      </c>
      <c r="C13" s="10">
        <v>0.036</v>
      </c>
      <c r="D13" s="9">
        <f>D12*C13</f>
        <v>32.11785</v>
      </c>
      <c r="E13" s="9">
        <f>E12*C13</f>
        <v>33.1344</v>
      </c>
    </row>
    <row r="14" spans="1:5">
      <c r="A14" s="3" t="s">
        <v>39</v>
      </c>
      <c r="B14">
        <v>747</v>
      </c>
      <c r="C14" s="2">
        <v>0.964</v>
      </c>
      <c r="D14" s="9">
        <f>D12-D13</f>
        <v>860.04465</v>
      </c>
      <c r="E14" s="9">
        <f>E12-E13</f>
        <v>887.2656</v>
      </c>
    </row>
    <row r="17" ht="31" customHeight="1" spans="2:2">
      <c r="B17" s="6" t="s">
        <v>40</v>
      </c>
    </row>
    <row r="18" ht="19" customHeight="1" spans="4:4">
      <c r="D18" s="7" t="s">
        <v>25</v>
      </c>
    </row>
    <row r="19" spans="1:5">
      <c r="A19" s="3" t="s">
        <v>26</v>
      </c>
      <c r="B19" t="s">
        <v>41</v>
      </c>
      <c r="C19" t="s">
        <v>28</v>
      </c>
      <c r="D19" s="8">
        <v>0.09</v>
      </c>
      <c r="E19" s="8">
        <v>0.11</v>
      </c>
    </row>
    <row r="20" spans="1:5">
      <c r="A20" s="3" t="s">
        <v>29</v>
      </c>
      <c r="B20">
        <v>1709</v>
      </c>
      <c r="C20" s="8">
        <v>0.09</v>
      </c>
      <c r="D20" s="9">
        <f>B20*(1+C20)</f>
        <v>1862.81</v>
      </c>
      <c r="E20" s="9">
        <f>B20*(1+E19)</f>
        <v>1896.99</v>
      </c>
    </row>
    <row r="21" spans="1:5">
      <c r="A21" s="3" t="s">
        <v>30</v>
      </c>
      <c r="B21">
        <v>32</v>
      </c>
      <c r="D21" s="9">
        <f>32</f>
        <v>32</v>
      </c>
      <c r="E21" s="9">
        <f>32</f>
        <v>32</v>
      </c>
    </row>
    <row r="22" spans="1:5">
      <c r="A22" s="3" t="s">
        <v>31</v>
      </c>
      <c r="B22">
        <v>138</v>
      </c>
      <c r="C22" s="8">
        <v>0.11</v>
      </c>
      <c r="D22" s="9">
        <f>B22*(1+C22)</f>
        <v>153.18</v>
      </c>
      <c r="E22" s="9">
        <f>B22*(1+C22)</f>
        <v>153.18</v>
      </c>
    </row>
    <row r="23" spans="1:5">
      <c r="A23" s="3" t="s">
        <v>32</v>
      </c>
      <c r="B23">
        <v>269</v>
      </c>
      <c r="D23" s="9">
        <f>B23*(1+D19)</f>
        <v>293.21</v>
      </c>
      <c r="E23" s="9">
        <f>B23*(1+E19)</f>
        <v>298.59</v>
      </c>
    </row>
    <row r="24" spans="1:5">
      <c r="A24" s="3" t="s">
        <v>33</v>
      </c>
      <c r="B24">
        <f>56+93+2</f>
        <v>151</v>
      </c>
      <c r="C24" s="8">
        <v>0.27</v>
      </c>
      <c r="D24" s="9">
        <f>B24*(1+C24)</f>
        <v>191.77</v>
      </c>
      <c r="E24" s="9">
        <f>B24*(1+C24)</f>
        <v>191.77</v>
      </c>
    </row>
    <row r="25" spans="1:5">
      <c r="A25" s="3" t="s">
        <v>34</v>
      </c>
      <c r="B25">
        <v>-15</v>
      </c>
      <c r="D25" s="9">
        <v>-15</v>
      </c>
      <c r="E25" s="9">
        <v>-15</v>
      </c>
    </row>
    <row r="26" spans="1:5">
      <c r="A26" s="3" t="s">
        <v>35</v>
      </c>
      <c r="B26">
        <v>1197</v>
      </c>
      <c r="D26" s="9">
        <f>D20+D21-D22-D23-D24-D25</f>
        <v>1271.65</v>
      </c>
      <c r="E26" s="9">
        <f>E20+E21-E22-E23-E24-E25</f>
        <v>1300.45</v>
      </c>
    </row>
    <row r="27" spans="1:5">
      <c r="A27" s="3" t="s">
        <v>36</v>
      </c>
      <c r="B27">
        <v>303</v>
      </c>
      <c r="C27" s="8">
        <v>0.25</v>
      </c>
      <c r="D27" s="9">
        <f>D26*C27</f>
        <v>317.9125</v>
      </c>
      <c r="E27" s="9">
        <f>E26*C27</f>
        <v>325.1125</v>
      </c>
    </row>
    <row r="28" spans="1:5">
      <c r="A28" s="3" t="s">
        <v>37</v>
      </c>
      <c r="B28">
        <v>893</v>
      </c>
      <c r="D28" s="9">
        <f>D26-D27</f>
        <v>953.7375</v>
      </c>
      <c r="E28" s="9">
        <f>E26-E27</f>
        <v>975.3375</v>
      </c>
    </row>
    <row r="29" spans="1:5">
      <c r="A29" s="3" t="s">
        <v>38</v>
      </c>
      <c r="B29">
        <v>31</v>
      </c>
      <c r="C29" s="10">
        <v>0.036</v>
      </c>
      <c r="D29" s="9">
        <f>D28*C29</f>
        <v>34.33455</v>
      </c>
      <c r="E29" s="9">
        <f>E28*C29</f>
        <v>35.11215</v>
      </c>
    </row>
    <row r="30" spans="1:5">
      <c r="A30" s="3" t="s">
        <v>39</v>
      </c>
      <c r="B30">
        <v>862</v>
      </c>
      <c r="C30" s="2">
        <v>0.964</v>
      </c>
      <c r="D30" s="9">
        <f>D28-D29</f>
        <v>919.40295</v>
      </c>
      <c r="E30" s="9">
        <f>E28-E29</f>
        <v>940.22535</v>
      </c>
    </row>
    <row r="31" spans="4:4">
      <c r="D31" s="11">
        <f>(D30+E30)/2</f>
        <v>929.81415</v>
      </c>
    </row>
    <row r="32" spans="2:2">
      <c r="B32" t="s">
        <v>42</v>
      </c>
    </row>
    <row r="33" spans="1:4">
      <c r="A33" t="s">
        <v>43</v>
      </c>
      <c r="D33" t="s">
        <v>25</v>
      </c>
    </row>
    <row r="34" spans="1:5">
      <c r="A34" t="s">
        <v>26</v>
      </c>
      <c r="B34" t="s">
        <v>44</v>
      </c>
      <c r="C34" t="s">
        <v>45</v>
      </c>
      <c r="D34">
        <v>0</v>
      </c>
      <c r="E34">
        <v>-0.03</v>
      </c>
    </row>
    <row r="35" spans="1:5">
      <c r="A35" t="s">
        <v>29</v>
      </c>
      <c r="B35">
        <v>1688.38</v>
      </c>
      <c r="D35">
        <f>B35*(1+D34)</f>
        <v>1688.38</v>
      </c>
      <c r="E35">
        <f>B35*(1+E34)</f>
        <v>1637.7286</v>
      </c>
    </row>
    <row r="36" spans="1:5">
      <c r="A36" t="s">
        <v>30</v>
      </c>
      <c r="B36">
        <v>32</v>
      </c>
      <c r="D36">
        <f>32</f>
        <v>32</v>
      </c>
      <c r="E36">
        <f>32</f>
        <v>32</v>
      </c>
    </row>
    <row r="37" spans="1:5">
      <c r="A37" t="s">
        <v>31</v>
      </c>
      <c r="B37">
        <v>148.92</v>
      </c>
      <c r="D37">
        <f>B37*(1+D34)</f>
        <v>148.92</v>
      </c>
      <c r="E37">
        <f>B37*(1+E34)</f>
        <v>144.4524</v>
      </c>
    </row>
    <row r="38" spans="1:5">
      <c r="A38" t="s">
        <v>32</v>
      </c>
      <c r="B38">
        <v>273.54</v>
      </c>
      <c r="D38">
        <f>B38*(1+D34)</f>
        <v>273.54</v>
      </c>
      <c r="E38">
        <f>B38*(1+E34)</f>
        <v>265.3338</v>
      </c>
    </row>
    <row r="39" spans="1:5">
      <c r="A39" t="s">
        <v>33</v>
      </c>
      <c r="B39">
        <f>73+83+2</f>
        <v>158</v>
      </c>
      <c r="D39">
        <f>B39*(1+D34)</f>
        <v>158</v>
      </c>
      <c r="E39">
        <f>B39*(1+E34)</f>
        <v>153.26</v>
      </c>
    </row>
    <row r="40" spans="1:5">
      <c r="A40" t="s">
        <v>34</v>
      </c>
      <c r="B40">
        <v>-8</v>
      </c>
      <c r="D40">
        <v>-8</v>
      </c>
      <c r="E40">
        <v>-8</v>
      </c>
    </row>
    <row r="41" spans="1:5">
      <c r="A41" t="s">
        <v>35</v>
      </c>
      <c r="B41">
        <v>1148</v>
      </c>
      <c r="D41">
        <f>D35+D36-D37-D38-D39-D40</f>
        <v>1147.92</v>
      </c>
      <c r="E41">
        <f>E35+E36-E37-E38-E39-E40</f>
        <v>1114.6824</v>
      </c>
    </row>
    <row r="42" spans="1:5">
      <c r="A42" t="s">
        <v>46</v>
      </c>
      <c r="B42">
        <v>294</v>
      </c>
      <c r="C42">
        <v>0.25</v>
      </c>
      <c r="D42">
        <f>D41-D43</f>
        <v>294.185560165975</v>
      </c>
      <c r="E42">
        <f>E41-E43</f>
        <v>286.559993360996</v>
      </c>
    </row>
    <row r="43" spans="1:5">
      <c r="A43" t="s">
        <v>37</v>
      </c>
      <c r="B43">
        <v>853</v>
      </c>
      <c r="D43">
        <f>D45/C45</f>
        <v>853.734439834025</v>
      </c>
      <c r="E43">
        <f>E45/C45</f>
        <v>828.122406639004</v>
      </c>
    </row>
    <row r="44" spans="1:5">
      <c r="A44" t="s">
        <v>38</v>
      </c>
      <c r="B44">
        <v>30</v>
      </c>
      <c r="C44">
        <v>0.036</v>
      </c>
      <c r="D44">
        <f>D43-D45</f>
        <v>30.7344398340249</v>
      </c>
      <c r="E44">
        <f>E43-E45</f>
        <v>29.8124066390042</v>
      </c>
    </row>
    <row r="45" spans="1:5">
      <c r="A45" t="s">
        <v>39</v>
      </c>
      <c r="B45">
        <v>823</v>
      </c>
      <c r="C45">
        <v>0.964</v>
      </c>
      <c r="D45">
        <f>B45*(1+D34)</f>
        <v>823</v>
      </c>
      <c r="E45">
        <f>B45*(1+E34)</f>
        <v>798.31</v>
      </c>
    </row>
    <row r="46" spans="4:4">
      <c r="D46">
        <f>(D45+E45)/2</f>
        <v>810.655</v>
      </c>
    </row>
  </sheetData>
  <mergeCells count="5">
    <mergeCell ref="B1:E1"/>
    <mergeCell ref="D2:E2"/>
    <mergeCell ref="B17:E17"/>
    <mergeCell ref="D18:E18"/>
    <mergeCell ref="D31:E3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Q2" sqref="Q2:Q11"/>
    </sheetView>
  </sheetViews>
  <sheetFormatPr defaultColWidth="9.14285714285714" defaultRowHeight="16.8"/>
  <cols>
    <col min="2" max="2" width="9.64285714285714" customWidth="1"/>
    <col min="4" max="4" width="9.64285714285714" customWidth="1"/>
    <col min="5" max="5" width="14.2767857142857" customWidth="1"/>
    <col min="6" max="6" width="12.1964285714286" style="3" customWidth="1"/>
    <col min="8" max="12" width="9.92857142857143" customWidth="1"/>
    <col min="14" max="19" width="9.64285714285714" customWidth="1"/>
  </cols>
  <sheetData>
    <row r="1" spans="1:17">
      <c r="A1" s="4" t="s">
        <v>47</v>
      </c>
      <c r="G1" s="4" t="s">
        <v>48</v>
      </c>
      <c r="M1" s="3"/>
      <c r="N1" s="4" t="s">
        <v>47</v>
      </c>
      <c r="Q1" s="4" t="s">
        <v>48</v>
      </c>
    </row>
    <row r="2" s="3" customFormat="1" ht="19" customHeight="1" spans="1:19">
      <c r="A2" s="3" t="s">
        <v>0</v>
      </c>
      <c r="B2" s="3" t="s">
        <v>49</v>
      </c>
      <c r="C2" s="3" t="s">
        <v>0</v>
      </c>
      <c r="D2" s="3" t="s">
        <v>50</v>
      </c>
      <c r="E2" s="3" t="s">
        <v>51</v>
      </c>
      <c r="G2" s="3" t="s">
        <v>0</v>
      </c>
      <c r="H2" s="3" t="s">
        <v>49</v>
      </c>
      <c r="I2" s="3" t="s">
        <v>0</v>
      </c>
      <c r="J2" s="3" t="s">
        <v>50</v>
      </c>
      <c r="K2" s="3" t="s">
        <v>51</v>
      </c>
      <c r="N2" s="3" t="s">
        <v>52</v>
      </c>
      <c r="O2" s="3" t="s">
        <v>53</v>
      </c>
      <c r="P2" s="3" t="s">
        <v>54</v>
      </c>
      <c r="Q2" s="3" t="s">
        <v>52</v>
      </c>
      <c r="R2" s="3" t="s">
        <v>53</v>
      </c>
      <c r="S2" s="3" t="s">
        <v>54</v>
      </c>
    </row>
    <row r="3" ht="17.6" customHeight="1" spans="1:19">
      <c r="A3" s="3">
        <v>2020</v>
      </c>
      <c r="B3" s="5">
        <v>34312.53</v>
      </c>
      <c r="C3" s="3">
        <v>2016</v>
      </c>
      <c r="D3" s="5">
        <v>39312.53</v>
      </c>
      <c r="E3" s="2">
        <f t="shared" ref="E3:E8" si="0">B3/D3</f>
        <v>0.872814087518661</v>
      </c>
      <c r="G3" s="3">
        <v>2020</v>
      </c>
      <c r="H3" s="5">
        <v>29743.35</v>
      </c>
      <c r="I3" s="3">
        <v>2016</v>
      </c>
      <c r="J3" s="5">
        <v>20575.44</v>
      </c>
      <c r="K3" s="2">
        <f t="shared" ref="K3:K8" si="1">H3/J3</f>
        <v>1.4455754044628</v>
      </c>
      <c r="M3" s="3">
        <v>2016</v>
      </c>
      <c r="N3" s="5">
        <v>22917.66</v>
      </c>
      <c r="O3" s="5">
        <v>39312.53</v>
      </c>
      <c r="P3" s="5">
        <v>32592</v>
      </c>
      <c r="Q3" s="5">
        <v>14026.7</v>
      </c>
      <c r="R3" s="5">
        <v>20575.44</v>
      </c>
      <c r="S3" s="5">
        <v>17665</v>
      </c>
    </row>
    <row r="4" ht="17.6" customHeight="1" spans="1:19">
      <c r="A4" s="3">
        <v>2021</v>
      </c>
      <c r="B4" s="5">
        <v>36261.31</v>
      </c>
      <c r="C4" s="3">
        <v>2017</v>
      </c>
      <c r="D4" s="5">
        <v>42828.59</v>
      </c>
      <c r="E4" s="2">
        <f t="shared" si="0"/>
        <v>0.846661307318312</v>
      </c>
      <c r="G4" s="3">
        <v>2021</v>
      </c>
      <c r="H4" s="5">
        <v>30177.38</v>
      </c>
      <c r="I4" s="3">
        <v>2017</v>
      </c>
      <c r="J4" s="5">
        <v>20959.02</v>
      </c>
      <c r="K4" s="2">
        <f t="shared" si="1"/>
        <v>1.43982781637691</v>
      </c>
      <c r="M4" s="3">
        <v>2017</v>
      </c>
      <c r="N4" s="5">
        <v>30205.52</v>
      </c>
      <c r="O4" s="5">
        <v>42828.59</v>
      </c>
      <c r="P4" s="5">
        <v>35952</v>
      </c>
      <c r="Q4" s="5">
        <v>29902.84</v>
      </c>
      <c r="R4" s="5">
        <v>20959.02</v>
      </c>
      <c r="S4" s="5">
        <v>17725</v>
      </c>
    </row>
    <row r="5" ht="17.6" customHeight="1" spans="1:19">
      <c r="A5" s="3">
        <v>2022</v>
      </c>
      <c r="B5" s="5">
        <v>37901.39</v>
      </c>
      <c r="C5" s="3">
        <v>2018</v>
      </c>
      <c r="D5" s="5">
        <v>49671.69</v>
      </c>
      <c r="E5" s="2">
        <f t="shared" si="0"/>
        <v>0.76303806051294</v>
      </c>
      <c r="G5" s="3">
        <v>2022</v>
      </c>
      <c r="H5" s="5">
        <v>30274.93</v>
      </c>
      <c r="I5" s="3">
        <v>2018</v>
      </c>
      <c r="J5" s="5">
        <v>20545.06</v>
      </c>
      <c r="K5" s="2">
        <f t="shared" si="1"/>
        <v>1.47358683790653</v>
      </c>
      <c r="M5" s="3">
        <v>2018</v>
      </c>
      <c r="N5" s="5">
        <v>32463.95</v>
      </c>
      <c r="O5" s="5">
        <v>49671.69</v>
      </c>
      <c r="P5" s="5">
        <v>37408</v>
      </c>
      <c r="Q5" s="5">
        <v>29774.46</v>
      </c>
      <c r="R5" s="5">
        <v>20545.06</v>
      </c>
      <c r="S5" s="5">
        <v>21245</v>
      </c>
    </row>
    <row r="6" ht="17.6" customHeight="1" spans="1:19">
      <c r="A6" s="3">
        <v>2023</v>
      </c>
      <c r="B6" s="5">
        <v>42109.5</v>
      </c>
      <c r="C6" s="3">
        <v>2019</v>
      </c>
      <c r="D6" s="5">
        <v>49922.71</v>
      </c>
      <c r="E6" s="2">
        <f t="shared" si="0"/>
        <v>0.843493872828619</v>
      </c>
      <c r="G6" s="3">
        <v>2023</v>
      </c>
      <c r="H6" s="5">
        <v>31164.54</v>
      </c>
      <c r="I6" s="3">
        <v>2019</v>
      </c>
      <c r="J6" s="5">
        <v>25122.02</v>
      </c>
      <c r="K6" s="2">
        <f t="shared" si="1"/>
        <v>1.24052683661585</v>
      </c>
      <c r="M6" s="3">
        <v>2019</v>
      </c>
      <c r="N6" s="5">
        <v>34562.46</v>
      </c>
      <c r="O6" s="5">
        <v>49922.71</v>
      </c>
      <c r="P6" s="5">
        <v>38528</v>
      </c>
      <c r="Q6" s="5">
        <v>30082.84</v>
      </c>
      <c r="R6" s="5">
        <v>25122.02</v>
      </c>
      <c r="S6" s="5">
        <v>21245</v>
      </c>
    </row>
    <row r="7" ht="17.6" customHeight="1" spans="1:19">
      <c r="A7" s="3">
        <v>2024</v>
      </c>
      <c r="B7" s="5">
        <v>46412.95</v>
      </c>
      <c r="C7" s="3">
        <v>2020</v>
      </c>
      <c r="D7" s="5">
        <v>50235.17</v>
      </c>
      <c r="E7" s="2">
        <f t="shared" si="0"/>
        <v>0.923913465406806</v>
      </c>
      <c r="G7" s="3">
        <v>2024</v>
      </c>
      <c r="H7" s="5">
        <v>36919.81</v>
      </c>
      <c r="I7" s="3">
        <v>2020</v>
      </c>
      <c r="J7" s="5">
        <v>24925.37</v>
      </c>
      <c r="K7" s="2">
        <f t="shared" si="1"/>
        <v>1.48121412039219</v>
      </c>
      <c r="M7" s="3">
        <v>2020</v>
      </c>
      <c r="N7" s="5">
        <v>34312.53</v>
      </c>
      <c r="O7" s="5">
        <v>50235.17</v>
      </c>
      <c r="P7" s="5">
        <v>42560</v>
      </c>
      <c r="Q7" s="5">
        <v>29743.35</v>
      </c>
      <c r="R7" s="5">
        <v>24925.37</v>
      </c>
      <c r="S7" s="5">
        <v>25260</v>
      </c>
    </row>
    <row r="8" ht="17.6" customHeight="1" spans="1:19">
      <c r="A8">
        <v>2025</v>
      </c>
      <c r="B8">
        <v>46750.66</v>
      </c>
      <c r="C8">
        <v>2021</v>
      </c>
      <c r="D8">
        <v>56472.25</v>
      </c>
      <c r="E8">
        <f t="shared" si="0"/>
        <v>0.827851909566203</v>
      </c>
      <c r="G8">
        <v>2025</v>
      </c>
      <c r="H8">
        <v>38353.48</v>
      </c>
      <c r="I8">
        <v>2021</v>
      </c>
      <c r="J8">
        <v>28248.92</v>
      </c>
      <c r="K8">
        <f t="shared" si="1"/>
        <v>1.35769721461918</v>
      </c>
      <c r="M8" s="3">
        <v>2021</v>
      </c>
      <c r="N8" s="5">
        <v>36261.31</v>
      </c>
      <c r="O8" s="5">
        <v>56472.25</v>
      </c>
      <c r="P8" s="5">
        <v>42742.5</v>
      </c>
      <c r="Q8" s="5">
        <v>30177.38</v>
      </c>
      <c r="R8" s="5">
        <v>28248.92</v>
      </c>
      <c r="S8" s="5">
        <v>31660</v>
      </c>
    </row>
    <row r="9" ht="17.6" customHeight="1" spans="13:19">
      <c r="M9" s="3">
        <v>2022</v>
      </c>
      <c r="N9" s="5">
        <v>37901.39</v>
      </c>
      <c r="O9" s="5">
        <v>56810.44</v>
      </c>
      <c r="P9" s="5">
        <v>42742.5</v>
      </c>
      <c r="Q9" s="5">
        <v>30274.93</v>
      </c>
      <c r="R9" s="5">
        <v>35075.39</v>
      </c>
      <c r="S9" s="5">
        <v>38060</v>
      </c>
    </row>
    <row r="10" ht="17.6" customHeight="1" spans="13:19">
      <c r="M10" s="3">
        <v>2023</v>
      </c>
      <c r="N10" s="5">
        <v>42109.5</v>
      </c>
      <c r="O10" s="5">
        <v>57204.11</v>
      </c>
      <c r="P10" s="5">
        <v>42795</v>
      </c>
      <c r="Q10" s="5">
        <v>31164.54</v>
      </c>
      <c r="R10" s="5">
        <v>42937.04</v>
      </c>
      <c r="S10" s="5">
        <v>44460</v>
      </c>
    </row>
    <row r="11" ht="17.6" customHeight="1" spans="13:19">
      <c r="M11" s="3">
        <v>2024</v>
      </c>
      <c r="N11" s="5">
        <v>46412.95</v>
      </c>
      <c r="O11" s="5">
        <v>56271.99</v>
      </c>
      <c r="P11" s="5">
        <v>44595</v>
      </c>
      <c r="Q11" s="5">
        <v>36919.81</v>
      </c>
      <c r="R11" s="5">
        <v>48112.51</v>
      </c>
      <c r="S11" s="5">
        <v>52460</v>
      </c>
    </row>
    <row r="12" spans="13:19">
      <c r="M12">
        <v>2025</v>
      </c>
      <c r="N12">
        <v>46750.66</v>
      </c>
      <c r="O12">
        <v>58473.16</v>
      </c>
      <c r="P12">
        <v>46395</v>
      </c>
      <c r="Q12">
        <v>38353.48</v>
      </c>
      <c r="R12">
        <v>57650.57</v>
      </c>
      <c r="S12">
        <v>59400</v>
      </c>
    </row>
  </sheetData>
  <mergeCells count="4">
    <mergeCell ref="A1:E1"/>
    <mergeCell ref="G1:K1"/>
    <mergeCell ref="N1:P1"/>
    <mergeCell ref="Q1:S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workbookViewId="0">
      <pane ySplit="2" topLeftCell="A3" activePane="bottomLeft" state="frozen"/>
      <selection/>
      <selection pane="bottomLeft" activeCell="L4" sqref="L4"/>
    </sheetView>
  </sheetViews>
  <sheetFormatPr defaultColWidth="9.14285714285714" defaultRowHeight="16.8"/>
  <cols>
    <col min="3" max="4" width="7.57142857142857" customWidth="1"/>
    <col min="7" max="7" width="12.7857142857143" customWidth="1"/>
    <col min="9" max="9" width="12.7857142857143" customWidth="1"/>
    <col min="13" max="13" width="11.7142857142857" customWidth="1"/>
  </cols>
  <sheetData>
    <row r="1" ht="23.2" customHeight="1" spans="1:13">
      <c r="A1" s="1" t="s">
        <v>0</v>
      </c>
      <c r="B1" s="1" t="s">
        <v>55</v>
      </c>
      <c r="C1" s="1" t="s">
        <v>56</v>
      </c>
      <c r="K1" s="1"/>
      <c r="L1" s="1" t="s">
        <v>0</v>
      </c>
      <c r="M1" s="1" t="s">
        <v>55</v>
      </c>
    </row>
    <row r="2" spans="3:21">
      <c r="C2" t="s">
        <v>47</v>
      </c>
      <c r="D2" t="s">
        <v>48</v>
      </c>
      <c r="E2" t="s">
        <v>57</v>
      </c>
      <c r="F2" t="s">
        <v>58</v>
      </c>
      <c r="G2" t="s">
        <v>51</v>
      </c>
      <c r="H2" t="s">
        <v>59</v>
      </c>
      <c r="I2" t="s">
        <v>51</v>
      </c>
      <c r="J2" t="s">
        <v>57</v>
      </c>
      <c r="N2" t="s">
        <v>47</v>
      </c>
      <c r="O2" t="s">
        <v>48</v>
      </c>
      <c r="P2" t="s">
        <v>57</v>
      </c>
      <c r="Q2" t="s">
        <v>58</v>
      </c>
      <c r="R2" t="s">
        <v>51</v>
      </c>
      <c r="S2" t="s">
        <v>59</v>
      </c>
      <c r="T2" t="s">
        <v>51</v>
      </c>
      <c r="U2" t="s">
        <v>57</v>
      </c>
    </row>
    <row r="8" spans="1:21">
      <c r="A8">
        <v>2025</v>
      </c>
      <c r="B8" t="s">
        <v>60</v>
      </c>
      <c r="C8">
        <v>435.57</v>
      </c>
      <c r="D8">
        <v>70.22</v>
      </c>
      <c r="E8">
        <f>SUM(C8:D8)</f>
        <v>505.79</v>
      </c>
      <c r="F8">
        <v>232.2</v>
      </c>
      <c r="G8" s="2">
        <f>F8/J8</f>
        <v>0.45908380948615</v>
      </c>
      <c r="H8">
        <v>273.59</v>
      </c>
      <c r="I8" s="2">
        <f>H8/J8</f>
        <v>0.54091619051385</v>
      </c>
      <c r="J8">
        <f>F8+H8</f>
        <v>505.79</v>
      </c>
      <c r="L8">
        <v>2025</v>
      </c>
      <c r="M8" t="s">
        <v>61</v>
      </c>
      <c r="N8">
        <v>435.57</v>
      </c>
      <c r="O8">
        <v>70.22</v>
      </c>
      <c r="P8">
        <f>SUM(N8:O8)</f>
        <v>505.79</v>
      </c>
      <c r="Q8">
        <v>232.2</v>
      </c>
      <c r="R8" s="2">
        <f>Q8/U8</f>
        <v>0.45908380948615</v>
      </c>
      <c r="S8">
        <v>273.59</v>
      </c>
      <c r="T8" s="2">
        <f>S8/U8</f>
        <v>0.54091619051385</v>
      </c>
      <c r="U8">
        <f>Q8+S8</f>
        <v>505.79</v>
      </c>
    </row>
    <row r="9" spans="1:21">
      <c r="A9">
        <v>2025</v>
      </c>
      <c r="B9" t="s">
        <v>62</v>
      </c>
      <c r="C9">
        <f>N9-N8</f>
        <v>320.33</v>
      </c>
      <c r="D9">
        <f>O9-O8</f>
        <v>67.4</v>
      </c>
      <c r="E9">
        <f>SUM(C9:D9)</f>
        <v>387.73</v>
      </c>
      <c r="F9">
        <f>Q9-Q8</f>
        <v>167.9</v>
      </c>
      <c r="G9" s="2">
        <f>F9/J9</f>
        <v>0.433033296366028</v>
      </c>
      <c r="H9">
        <f>S9-S8</f>
        <v>219.83</v>
      </c>
      <c r="I9" s="2">
        <f>H9/J9</f>
        <v>0.566966703633972</v>
      </c>
      <c r="J9">
        <f>F9+H9</f>
        <v>387.73</v>
      </c>
      <c r="L9">
        <v>2025</v>
      </c>
      <c r="M9" t="s">
        <v>63</v>
      </c>
      <c r="N9">
        <v>755.9</v>
      </c>
      <c r="O9">
        <v>137.62</v>
      </c>
      <c r="P9">
        <f>N9+O9</f>
        <v>893.52</v>
      </c>
      <c r="Q9">
        <v>400.1</v>
      </c>
      <c r="R9" s="2">
        <f>Q9/U9</f>
        <v>0.447779568448384</v>
      </c>
      <c r="S9">
        <v>493.42</v>
      </c>
      <c r="T9" s="2">
        <f>S9/U9</f>
        <v>0.552220431551616</v>
      </c>
      <c r="U9">
        <f>Q9+S9</f>
        <v>893.52</v>
      </c>
    </row>
    <row r="10" spans="1:21">
      <c r="A10">
        <v>2025</v>
      </c>
      <c r="B10" t="s">
        <v>64</v>
      </c>
      <c r="C10">
        <f>N10-N9</f>
        <v>349.23</v>
      </c>
      <c r="D10">
        <f>O10-O9</f>
        <v>41.22</v>
      </c>
      <c r="E10">
        <f>SUM(C10:D10)</f>
        <v>390.45</v>
      </c>
      <c r="F10">
        <f>Q10-Q9</f>
        <v>155.45</v>
      </c>
      <c r="G10" s="2">
        <f>F10/J10</f>
        <v>0.398130362402356</v>
      </c>
      <c r="H10">
        <f>S10-S9</f>
        <v>235</v>
      </c>
      <c r="I10" s="2">
        <f>H10/J10</f>
        <v>0.601869637597644</v>
      </c>
      <c r="J10">
        <f>F10+H10</f>
        <v>390.45</v>
      </c>
      <c r="L10">
        <v>2025</v>
      </c>
      <c r="M10" t="s">
        <v>65</v>
      </c>
      <c r="N10">
        <v>1105.13</v>
      </c>
      <c r="O10">
        <v>178.84</v>
      </c>
      <c r="P10">
        <f>N10+O10</f>
        <v>1283.97</v>
      </c>
      <c r="Q10">
        <v>555.55</v>
      </c>
      <c r="R10" s="2">
        <f>Q10/U10</f>
        <v>0.432681448943511</v>
      </c>
      <c r="S10">
        <v>728.42</v>
      </c>
      <c r="T10" s="2">
        <f>S10/U10</f>
        <v>0.567318551056489</v>
      </c>
      <c r="U10">
        <f>Q10+S10</f>
        <v>1283.97</v>
      </c>
    </row>
    <row r="11" spans="1:21">
      <c r="A11">
        <v>2025</v>
      </c>
      <c r="B11" t="s">
        <v>66</v>
      </c>
      <c r="C11">
        <f>N11-N10</f>
        <v>359.86</v>
      </c>
      <c r="D11">
        <f>O11-O10</f>
        <v>43.91</v>
      </c>
      <c r="E11">
        <f>SUM(C11:D11)</f>
        <v>403.77</v>
      </c>
      <c r="F11">
        <f>Q11-Q10</f>
        <v>289.88</v>
      </c>
      <c r="G11" s="2">
        <f>F11/J11</f>
        <v>0.717915696666501</v>
      </c>
      <c r="H11">
        <f>S11-S10</f>
        <v>113.9</v>
      </c>
      <c r="I11" s="2">
        <f>H11/J11</f>
        <v>0.282084303333499</v>
      </c>
      <c r="J11">
        <f>F11+H11</f>
        <v>403.78</v>
      </c>
      <c r="L11">
        <v>2025</v>
      </c>
      <c r="M11" t="s">
        <v>67</v>
      </c>
      <c r="N11">
        <v>1464.99</v>
      </c>
      <c r="O11">
        <v>222.75</v>
      </c>
      <c r="P11">
        <f>N11+O11</f>
        <v>1687.74</v>
      </c>
      <c r="Q11">
        <v>845.43</v>
      </c>
      <c r="R11">
        <f>Q11/U11</f>
        <v>0.500921344985928</v>
      </c>
      <c r="S11">
        <v>842.32</v>
      </c>
      <c r="T11">
        <f>S11/U11</f>
        <v>0.499078655014072</v>
      </c>
      <c r="U11">
        <f>Q11+S11</f>
        <v>1687.75</v>
      </c>
    </row>
    <row r="12" spans="7:9">
      <c r="G12" s="2"/>
      <c r="I12" s="2"/>
    </row>
    <row r="13" spans="1:21">
      <c r="A13">
        <v>2024</v>
      </c>
      <c r="B13" t="s">
        <v>60</v>
      </c>
      <c r="C13">
        <v>397.06</v>
      </c>
      <c r="D13">
        <v>59.36</v>
      </c>
      <c r="E13">
        <f>SUM(C13:D13)</f>
        <v>456.42</v>
      </c>
      <c r="F13">
        <v>193.19</v>
      </c>
      <c r="G13" s="2">
        <f>F13/J13</f>
        <v>0.423272424521274</v>
      </c>
      <c r="H13">
        <v>263.23</v>
      </c>
      <c r="I13" s="2">
        <f>H13/J13</f>
        <v>0.576727575478726</v>
      </c>
      <c r="J13">
        <f>F13+H13</f>
        <v>456.42</v>
      </c>
      <c r="L13">
        <v>2024</v>
      </c>
      <c r="M13" t="s">
        <v>61</v>
      </c>
      <c r="N13">
        <v>397.06</v>
      </c>
      <c r="O13">
        <v>59.36</v>
      </c>
      <c r="P13">
        <f>SUM(N13:O13)</f>
        <v>456.42</v>
      </c>
      <c r="Q13">
        <v>193.19</v>
      </c>
      <c r="R13" s="2">
        <f>Q13/U13</f>
        <v>0.423272424521274</v>
      </c>
      <c r="S13">
        <v>263.23</v>
      </c>
      <c r="T13" s="2">
        <f>S13/U13</f>
        <v>0.576727575478726</v>
      </c>
      <c r="U13">
        <f>Q13+S13</f>
        <v>456.42</v>
      </c>
    </row>
    <row r="14" spans="1:21">
      <c r="A14">
        <v>2024</v>
      </c>
      <c r="B14" t="s">
        <v>62</v>
      </c>
      <c r="C14">
        <f>N14-N13</f>
        <v>288.6</v>
      </c>
      <c r="D14">
        <f>O14-O13</f>
        <v>72.11</v>
      </c>
      <c r="E14">
        <f>SUM(C14:D14)</f>
        <v>360.71</v>
      </c>
      <c r="F14">
        <f>Q14-Q13</f>
        <v>144.08</v>
      </c>
      <c r="G14" s="2">
        <f>F14/J14</f>
        <v>0.399434448726123</v>
      </c>
      <c r="H14">
        <f>S14-S13</f>
        <v>216.63</v>
      </c>
      <c r="I14" s="2">
        <f>H14/J14</f>
        <v>0.600565551273877</v>
      </c>
      <c r="J14">
        <f>F14+H14</f>
        <v>360.71</v>
      </c>
      <c r="L14">
        <v>2024</v>
      </c>
      <c r="M14" t="s">
        <v>63</v>
      </c>
      <c r="N14">
        <v>685.66</v>
      </c>
      <c r="O14">
        <v>131.47</v>
      </c>
      <c r="P14">
        <f>N14+O14</f>
        <v>817.13</v>
      </c>
      <c r="Q14">
        <v>337.27</v>
      </c>
      <c r="R14" s="2">
        <f>Q14/U14</f>
        <v>0.412749501303342</v>
      </c>
      <c r="S14">
        <v>479.86</v>
      </c>
      <c r="T14" s="2">
        <f>S14/U14</f>
        <v>0.587250498696658</v>
      </c>
      <c r="U14">
        <f>Q14+S14</f>
        <v>817.13</v>
      </c>
    </row>
    <row r="15" spans="1:21">
      <c r="A15">
        <v>2024</v>
      </c>
      <c r="B15" t="s">
        <v>64</v>
      </c>
      <c r="C15">
        <f>N15-N14</f>
        <v>325.6</v>
      </c>
      <c r="D15">
        <f>O15-O14</f>
        <v>62.45</v>
      </c>
      <c r="E15">
        <f>SUM(C15:D15)</f>
        <v>388.05</v>
      </c>
      <c r="F15">
        <f>Q15-Q14</f>
        <v>182.62</v>
      </c>
      <c r="G15" s="2">
        <f>F15/J15</f>
        <v>0.470609457544131</v>
      </c>
      <c r="H15">
        <f>S15-S14</f>
        <v>205.43</v>
      </c>
      <c r="I15" s="2">
        <f>H15/J15</f>
        <v>0.529390542455869</v>
      </c>
      <c r="J15">
        <f>F15+H15</f>
        <v>388.05</v>
      </c>
      <c r="L15">
        <v>2024</v>
      </c>
      <c r="M15" t="s">
        <v>65</v>
      </c>
      <c r="N15">
        <v>1011.26</v>
      </c>
      <c r="O15">
        <v>193.92</v>
      </c>
      <c r="P15">
        <f>N15+O15</f>
        <v>1205.18</v>
      </c>
      <c r="Q15">
        <v>519.89</v>
      </c>
      <c r="R15" s="2">
        <f>Q15/U15</f>
        <v>0.431379544964238</v>
      </c>
      <c r="S15">
        <v>685.29</v>
      </c>
      <c r="T15" s="2">
        <f>S15/U15</f>
        <v>0.568620455035762</v>
      </c>
      <c r="U15">
        <f>Q15+S15</f>
        <v>1205.18</v>
      </c>
    </row>
    <row r="16" spans="1:21">
      <c r="A16">
        <v>2024</v>
      </c>
      <c r="B16" t="s">
        <v>66</v>
      </c>
      <c r="C16">
        <f>N16-N15</f>
        <v>448.02</v>
      </c>
      <c r="D16">
        <f>O16-O15</f>
        <v>52.91</v>
      </c>
      <c r="E16">
        <f>SUM(C16:D16)</f>
        <v>500.93</v>
      </c>
      <c r="F16">
        <f>Q16-Q15</f>
        <v>228.54</v>
      </c>
      <c r="G16" s="2">
        <f>F16/J16</f>
        <v>0.456231409578185</v>
      </c>
      <c r="H16">
        <f>S16-S15</f>
        <v>272.39</v>
      </c>
      <c r="I16" s="2">
        <f>H16/J16</f>
        <v>0.543768590421815</v>
      </c>
      <c r="J16">
        <f>F16+H16</f>
        <v>500.93</v>
      </c>
      <c r="L16">
        <v>2024</v>
      </c>
      <c r="M16" t="s">
        <v>67</v>
      </c>
      <c r="N16">
        <v>1459.28</v>
      </c>
      <c r="O16">
        <v>246.83</v>
      </c>
      <c r="P16">
        <f>N16+O16</f>
        <v>1706.11</v>
      </c>
      <c r="Q16">
        <v>748.43</v>
      </c>
      <c r="R16" s="2">
        <f>Q16/U16</f>
        <v>0.438676286992046</v>
      </c>
      <c r="S16">
        <v>957.68</v>
      </c>
      <c r="T16" s="2">
        <f>S16/U16</f>
        <v>0.561323713007954</v>
      </c>
      <c r="U16">
        <f>Q16+S16</f>
        <v>1706.11</v>
      </c>
    </row>
    <row r="17" spans="7:9">
      <c r="G17" s="2"/>
      <c r="I17" s="2"/>
    </row>
    <row r="18" spans="1:9">
      <c r="A18">
        <v>2023</v>
      </c>
      <c r="B18" t="s">
        <v>60</v>
      </c>
      <c r="G18" s="2"/>
      <c r="I18" s="2"/>
    </row>
    <row r="19" spans="1:9">
      <c r="A19">
        <v>2023</v>
      </c>
      <c r="B19" t="s">
        <v>62</v>
      </c>
      <c r="G19" s="2"/>
      <c r="I19" s="2"/>
    </row>
    <row r="20" spans="1:9">
      <c r="A20">
        <v>2023</v>
      </c>
      <c r="B20" t="s">
        <v>64</v>
      </c>
      <c r="G20" s="2"/>
      <c r="I20" s="2"/>
    </row>
    <row r="21" spans="1:9">
      <c r="A21">
        <v>2023</v>
      </c>
      <c r="B21" t="s">
        <v>66</v>
      </c>
      <c r="G21" s="2"/>
      <c r="I21" s="2"/>
    </row>
    <row r="22" spans="7:9">
      <c r="G22" s="2"/>
      <c r="I22" s="2"/>
    </row>
  </sheetData>
  <mergeCells count="1">
    <mergeCell ref="C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11" sqref="D11"/>
    </sheetView>
  </sheetViews>
  <sheetFormatPr defaultColWidth="9" defaultRowHeight="16.8" outlineLevelCol="7"/>
  <cols>
    <col min="1" max="1" width="13.2142857142857" customWidth="1"/>
    <col min="2" max="2" width="11.3571428571429" customWidth="1"/>
    <col min="3" max="3" width="13.2142857142857" customWidth="1"/>
    <col min="4" max="4" width="12.7857142857143" customWidth="1"/>
    <col min="5" max="5" width="11.3571428571429" customWidth="1"/>
    <col min="6" max="6" width="13.2142857142857" customWidth="1"/>
    <col min="7" max="7" width="12.7857142857143" customWidth="1"/>
    <col min="8" max="8" width="46.7857142857143" customWidth="1"/>
  </cols>
  <sheetData>
    <row r="1" spans="1:8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 spans="1:7">
      <c r="A2">
        <v>2016</v>
      </c>
      <c r="B2">
        <v>99.89</v>
      </c>
      <c r="C2">
        <v>388.62</v>
      </c>
      <c r="D2">
        <f t="shared" ref="D2:D11" si="0">B2/C2</f>
        <v>0.257037723225773</v>
      </c>
      <c r="E2">
        <v>48.89</v>
      </c>
      <c r="F2">
        <v>167.18</v>
      </c>
      <c r="G2">
        <f t="shared" ref="G2:G11" si="1">E2/F2</f>
        <v>0.292439286996052</v>
      </c>
    </row>
    <row r="3" spans="1:7">
      <c r="A3">
        <v>2017</v>
      </c>
      <c r="B3">
        <v>133.09</v>
      </c>
      <c r="C3">
        <v>582.18</v>
      </c>
      <c r="D3">
        <f t="shared" si="0"/>
        <v>0.228606272973994</v>
      </c>
      <c r="E3">
        <v>61.23</v>
      </c>
      <c r="F3">
        <v>270.79</v>
      </c>
      <c r="G3">
        <f t="shared" si="1"/>
        <v>0.226116178588574</v>
      </c>
    </row>
    <row r="4" spans="1:7">
      <c r="A4">
        <v>2018</v>
      </c>
      <c r="B4">
        <v>174.66</v>
      </c>
      <c r="C4">
        <v>736.39</v>
      </c>
      <c r="D4">
        <f t="shared" si="0"/>
        <v>0.237184100816144</v>
      </c>
      <c r="E4">
        <v>85.07</v>
      </c>
      <c r="F4">
        <v>352.04</v>
      </c>
      <c r="G4">
        <f t="shared" si="1"/>
        <v>0.241648676286786</v>
      </c>
    </row>
    <row r="5" spans="1:7">
      <c r="A5">
        <v>2019</v>
      </c>
      <c r="B5">
        <v>216.44</v>
      </c>
      <c r="C5">
        <v>854.3</v>
      </c>
      <c r="D5">
        <f t="shared" si="0"/>
        <v>0.253353622849116</v>
      </c>
      <c r="E5">
        <v>112.21</v>
      </c>
      <c r="F5">
        <v>412.06</v>
      </c>
      <c r="G5">
        <f t="shared" si="1"/>
        <v>0.272314711449789</v>
      </c>
    </row>
    <row r="6" spans="1:7">
      <c r="A6">
        <v>2020</v>
      </c>
      <c r="B6">
        <v>244.05</v>
      </c>
      <c r="C6">
        <v>949.15</v>
      </c>
      <c r="D6">
        <f t="shared" si="0"/>
        <v>0.257124795869989</v>
      </c>
      <c r="E6">
        <v>130.94</v>
      </c>
      <c r="F6">
        <v>466.97</v>
      </c>
      <c r="G6">
        <f t="shared" si="1"/>
        <v>0.280403452041887</v>
      </c>
    </row>
    <row r="7" spans="1:7">
      <c r="A7">
        <v>2021</v>
      </c>
      <c r="B7">
        <v>272.71</v>
      </c>
      <c r="C7">
        <v>1061.9</v>
      </c>
      <c r="D7">
        <f t="shared" si="0"/>
        <v>0.256813259252284</v>
      </c>
      <c r="E7">
        <v>139.54</v>
      </c>
      <c r="F7">
        <v>524.6</v>
      </c>
      <c r="G7">
        <f t="shared" si="1"/>
        <v>0.265993137628669</v>
      </c>
    </row>
    <row r="8" spans="1:7">
      <c r="A8">
        <v>2022</v>
      </c>
      <c r="B8">
        <v>322.96</v>
      </c>
      <c r="C8">
        <v>1240.99</v>
      </c>
      <c r="D8">
        <f t="shared" si="0"/>
        <v>0.260243837581286</v>
      </c>
      <c r="E8">
        <v>172.45</v>
      </c>
      <c r="F8">
        <v>627.16</v>
      </c>
      <c r="G8">
        <f t="shared" si="1"/>
        <v>0.274969704700555</v>
      </c>
    </row>
    <row r="9" spans="1:7">
      <c r="A9">
        <v>2023</v>
      </c>
      <c r="B9">
        <v>387.56</v>
      </c>
      <c r="C9">
        <v>1476.94</v>
      </c>
      <c r="D9">
        <f t="shared" si="0"/>
        <v>0.262407409915095</v>
      </c>
      <c r="E9">
        <v>207.95</v>
      </c>
      <c r="F9">
        <v>747.34</v>
      </c>
      <c r="G9">
        <f t="shared" si="1"/>
        <v>0.278253539219097</v>
      </c>
    </row>
    <row r="10" spans="1:7">
      <c r="A10">
        <v>2024</v>
      </c>
      <c r="B10">
        <v>457.76</v>
      </c>
      <c r="C10">
        <v>1708.99</v>
      </c>
      <c r="D10">
        <f t="shared" si="0"/>
        <v>0.267854112663035</v>
      </c>
      <c r="E10">
        <v>240.65</v>
      </c>
      <c r="F10">
        <v>862.28</v>
      </c>
      <c r="G10">
        <f t="shared" si="1"/>
        <v>0.279085679825579</v>
      </c>
    </row>
    <row r="11" spans="1:8">
      <c r="A11">
        <v>2025</v>
      </c>
      <c r="B11">
        <v>506.01</v>
      </c>
      <c r="C11">
        <v>1688.38</v>
      </c>
      <c r="D11">
        <f t="shared" si="0"/>
        <v>0.299701489001291</v>
      </c>
      <c r="E11">
        <v>268.47</v>
      </c>
      <c r="F11">
        <v>823.2</v>
      </c>
      <c r="G11">
        <f t="shared" si="1"/>
        <v>0.326129737609329</v>
      </c>
      <c r="H11" t="s">
        <v>75</v>
      </c>
    </row>
    <row r="12" spans="1:8">
      <c r="A12">
        <v>2026</v>
      </c>
      <c r="B12">
        <v>539.09</v>
      </c>
      <c r="E12">
        <v>272.43</v>
      </c>
      <c r="H12" t="s">
        <v>76</v>
      </c>
    </row>
    <row r="13" spans="1:8">
      <c r="A13" t="s">
        <v>77</v>
      </c>
      <c r="D13">
        <f>AVERAGE(D2:D10)</f>
        <v>0.253402792794079</v>
      </c>
      <c r="G13">
        <f>AVERAGE(G2:G10)</f>
        <v>0.267913818526332</v>
      </c>
      <c r="H13" t="s">
        <v>78</v>
      </c>
    </row>
    <row r="14" spans="1:8">
      <c r="A14" t="s">
        <v>79</v>
      </c>
      <c r="D14">
        <f>D11</f>
        <v>0.299701489001291</v>
      </c>
      <c r="G14">
        <f>G11</f>
        <v>0.326129737609329</v>
      </c>
      <c r="H14" t="s">
        <v>80</v>
      </c>
    </row>
    <row r="15" spans="1:8">
      <c r="A15" t="s">
        <v>81</v>
      </c>
      <c r="H15" t="s">
        <v>82</v>
      </c>
    </row>
    <row r="16" spans="1:8">
      <c r="A16" t="s">
        <v>83</v>
      </c>
      <c r="F16">
        <f>272.43/G16</f>
        <v>823.051359516616</v>
      </c>
      <c r="G16">
        <v>0.331</v>
      </c>
      <c r="H16" t="s">
        <v>84</v>
      </c>
    </row>
    <row r="17" spans="1:8">
      <c r="A17" t="s">
        <v>85</v>
      </c>
      <c r="F17">
        <f>272.43/G17</f>
        <v>798.91495601173</v>
      </c>
      <c r="G17">
        <v>0.341</v>
      </c>
      <c r="H17" t="s">
        <v>84</v>
      </c>
    </row>
    <row r="18" spans="1:8">
      <c r="A18" t="s">
        <v>86</v>
      </c>
      <c r="F18">
        <f>272.43/G18</f>
        <v>780.601719197708</v>
      </c>
      <c r="G18">
        <v>0.349</v>
      </c>
      <c r="H18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估值</vt:lpstr>
      <vt:lpstr>利润估算</vt:lpstr>
      <vt:lpstr>基酒</vt:lpstr>
      <vt:lpstr>季度</vt:lpstr>
      <vt:lpstr>季度占比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叫我ZYZ</cp:lastModifiedBy>
  <dcterms:created xsi:type="dcterms:W3CDTF">2015-06-09T10:19:00Z</dcterms:created>
  <dcterms:modified xsi:type="dcterms:W3CDTF">2026-06-19T14:55:39Z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86010A770C9F1D792340ED67BD5207DA_42</vt:lpwstr>
  </property>
  <property fmtid="{D5CDD505-2E9C-101B-9397-08002B2CF9AE}" pid="3" name="KSOProductBuildVer">
    <vt:lpwstr>2052-6.14.0.8924</vt:lpwstr>
  </property>
</Properties>
</file>