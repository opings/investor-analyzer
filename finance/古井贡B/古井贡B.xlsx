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30240" windowHeight="12860" tabRatio="600" firstSheet="0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季度占比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24">
    <font>
      <name val="等线"/>
      <charset val="134"/>
      <color theme="1"/>
      <sz val="11"/>
      <scheme val="minor"/>
    </font>
    <font>
      <name val="等线"/>
      <charset val="134"/>
      <b val="1"/>
      <color theme="1"/>
      <sz val="16"/>
      <scheme val="minor"/>
    </font>
    <font>
      <name val="等线"/>
      <charset val="134"/>
      <color rgb="FFFF0000"/>
      <sz val="11"/>
      <scheme val="minor"/>
    </font>
    <font>
      <name val="等线"/>
      <charset val="134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4" borderId="7" applyAlignment="1">
      <alignment vertical="center"/>
    </xf>
    <xf numFmtId="0" fontId="14" fillId="5" borderId="8" applyAlignment="1">
      <alignment vertical="center"/>
    </xf>
    <xf numFmtId="0" fontId="15" fillId="5" borderId="7" applyAlignment="1">
      <alignment vertical="center"/>
    </xf>
    <xf numFmtId="0" fontId="16" fillId="6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23">
    <xf numFmtId="0" fontId="0" fillId="0" borderId="0" pivotButton="0" quotePrefix="0" xfId="0"/>
    <xf numFmtId="0" fontId="1" fillId="0" borderId="1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9" fontId="2" fillId="0" borderId="1" pivotButton="0" quotePrefix="0" xfId="0"/>
    <xf numFmtId="0" fontId="2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N19" sqref="N19"/>
    </sheetView>
  </sheetViews>
  <sheetFormatPr baseColWidth="8" defaultColWidth="9" defaultRowHeight="16.8"/>
  <cols>
    <col width="26.3571428571429" customWidth="1" min="5" max="5"/>
    <col width="12.7857142857143" customWidth="1" min="6" max="6"/>
    <col width="19.8571428571429" customWidth="1" min="7" max="7"/>
    <col width="11.6428571428571" customWidth="1" min="8" max="8"/>
    <col width="11.2857142857143" customWidth="1" min="10" max="10"/>
    <col width="11.7142857142857" customWidth="1" min="11" max="11"/>
    <col width="16.8571428571429" customWidth="1" min="14" max="14"/>
    <col width="16.8571428571429" customWidth="1" min="16" max="16"/>
    <col width="16.8571428571429" customWidth="1" min="18" max="18"/>
  </cols>
  <sheetData>
    <row r="1" ht="23.2" customHeight="1">
      <c r="A1" s="1" t="inlineStr">
        <is>
          <t>年份</t>
        </is>
      </c>
      <c r="B1" s="1" t="inlineStr">
        <is>
          <t>归母净利润(亿)</t>
        </is>
      </c>
      <c r="C1" s="1" t="inlineStr">
        <is>
          <t>增速</t>
        </is>
      </c>
      <c r="D1" s="2" t="n"/>
      <c r="E1" s="5" t="inlineStr">
        <is>
          <t>成长估值法</t>
        </is>
      </c>
      <c r="F1" s="6" t="n"/>
      <c r="G1" s="7" t="n"/>
      <c r="H1" s="3" t="n"/>
      <c r="J1" s="10" t="inlineStr">
        <is>
          <t>买卖点历史</t>
        </is>
      </c>
      <c r="K1" s="6" t="n"/>
      <c r="L1" s="6" t="n"/>
      <c r="M1" s="6" t="n"/>
      <c r="N1" s="6" t="n"/>
      <c r="O1" s="6" t="n"/>
      <c r="P1" s="6" t="n"/>
      <c r="Q1" s="6" t="n"/>
      <c r="R1" s="6" t="n"/>
      <c r="S1" s="7" t="n"/>
    </row>
    <row r="2">
      <c r="A2" s="3" t="n">
        <v>2025</v>
      </c>
      <c r="B2" s="3" t="n">
        <v>35.49</v>
      </c>
      <c r="C2" s="4">
        <f>(B2-B3)/B3</f>
        <v/>
      </c>
      <c r="E2" s="3" t="inlineStr">
        <is>
          <t>当年净利(2026E)</t>
        </is>
      </c>
      <c r="F2" s="3">
        <f>B2*(1+F3)</f>
        <v/>
      </c>
      <c r="G2" s="3" t="n"/>
      <c r="H2" s="3" t="n"/>
      <c r="J2" s="11" t="inlineStr">
        <is>
          <t>日期</t>
        </is>
      </c>
      <c r="K2" s="11" t="inlineStr">
        <is>
          <t>股本（亿）</t>
        </is>
      </c>
      <c r="L2" s="11" t="inlineStr">
        <is>
          <t>买点(亿)</t>
        </is>
      </c>
      <c r="M2" s="11" t="inlineStr">
        <is>
          <t>价格</t>
        </is>
      </c>
      <c r="N2" s="11" t="inlineStr">
        <is>
          <t>卖点一(亿)/价格</t>
        </is>
      </c>
      <c r="O2" s="11" t="inlineStr">
        <is>
          <t>价格</t>
        </is>
      </c>
      <c r="P2" s="11" t="inlineStr">
        <is>
          <t>卖点二(亿)/价格</t>
        </is>
      </c>
      <c r="Q2" s="11" t="inlineStr">
        <is>
          <t>价格</t>
        </is>
      </c>
      <c r="R2" s="11" t="inlineStr">
        <is>
          <t>卖点三(亿)/价格</t>
        </is>
      </c>
      <c r="S2" s="11" t="inlineStr">
        <is>
          <t>价格</t>
        </is>
      </c>
    </row>
    <row r="3">
      <c r="A3" s="3" t="n">
        <v>2024</v>
      </c>
      <c r="B3" s="3" t="n">
        <v>55.17</v>
      </c>
      <c r="C3" s="4">
        <f>(B3-B4)/B4</f>
        <v/>
      </c>
      <c r="E3" s="3" t="inlineStr">
        <is>
          <t>2026增速(Q1占比60%反推)</t>
        </is>
      </c>
      <c r="F3" s="8" t="n">
        <v>-0.245</v>
      </c>
      <c r="G3" s="3" t="n"/>
      <c r="H3" s="3" t="n"/>
      <c r="J3" s="12" t="n">
        <v>45822</v>
      </c>
      <c r="K3" s="18" t="n">
        <v>5.29</v>
      </c>
      <c r="L3" s="19" t="n">
        <v>550</v>
      </c>
      <c r="M3" s="19">
        <f>L3/K3</f>
        <v/>
      </c>
      <c r="N3" s="19" t="n">
        <v>1650</v>
      </c>
      <c r="O3" s="19">
        <f>N3/K3</f>
        <v/>
      </c>
      <c r="P3" s="19">
        <f>N3*1.1</f>
        <v/>
      </c>
      <c r="Q3" s="19">
        <f>P3/K3</f>
        <v/>
      </c>
      <c r="R3" s="19">
        <f>P3*1.1</f>
        <v/>
      </c>
      <c r="S3" s="18">
        <f>R3/K3</f>
        <v/>
      </c>
    </row>
    <row r="4">
      <c r="A4" s="3" t="n">
        <v>2023</v>
      </c>
      <c r="B4" s="3" t="n">
        <v>45.89</v>
      </c>
      <c r="C4" s="4">
        <f>(B4-B5)/B5</f>
        <v/>
      </c>
      <c r="E4" s="3" t="inlineStr">
        <is>
          <t>前瞻增速(2027-29)</t>
        </is>
      </c>
      <c r="F4" s="9" t="n">
        <v>0.03</v>
      </c>
      <c r="G4" s="3" t="n"/>
      <c r="H4" s="3" t="n"/>
      <c r="J4" s="12" t="n">
        <v>46192</v>
      </c>
      <c r="K4" s="18" t="n">
        <v>5.29</v>
      </c>
      <c r="L4" s="18" t="n">
        <v>264</v>
      </c>
      <c r="M4" s="19">
        <f>L4/K4</f>
        <v/>
      </c>
      <c r="N4" s="18" t="n">
        <v>1072</v>
      </c>
      <c r="O4" s="19">
        <f>N4/K4</f>
        <v/>
      </c>
      <c r="P4" s="19" t="n">
        <v>1179</v>
      </c>
      <c r="Q4" s="19">
        <f>P4/K4</f>
        <v/>
      </c>
      <c r="R4" s="19" t="n">
        <v>1286</v>
      </c>
      <c r="S4" s="18">
        <f>R4/K4</f>
        <v/>
      </c>
    </row>
    <row r="5">
      <c r="A5" s="3" t="n">
        <v>2022</v>
      </c>
      <c r="B5" s="3" t="n">
        <v>31.43</v>
      </c>
      <c r="C5" s="4">
        <f>(B5-B6)/B6</f>
        <v/>
      </c>
      <c r="E5" s="3" t="inlineStr">
        <is>
          <t>净利润折扣</t>
        </is>
      </c>
      <c r="F5" s="3" t="n">
        <v>0.9</v>
      </c>
      <c r="G5" s="3" t="n"/>
      <c r="H5" s="3" t="n"/>
      <c r="J5" s="11" t="n"/>
      <c r="K5" s="18" t="n"/>
      <c r="L5" s="18" t="n"/>
      <c r="M5" s="18" t="n"/>
      <c r="N5" s="20" t="n"/>
      <c r="O5" s="20" t="n"/>
      <c r="P5" s="21" t="n"/>
      <c r="Q5" s="21" t="n"/>
      <c r="R5" s="21" t="n"/>
      <c r="S5" s="20" t="n"/>
    </row>
    <row r="6">
      <c r="A6" s="3" t="n">
        <v>2021</v>
      </c>
      <c r="B6" s="3" t="n">
        <v>22.98</v>
      </c>
      <c r="C6" s="4">
        <f>(B6-B7)/B7</f>
        <v/>
      </c>
      <c r="E6" s="3" t="inlineStr">
        <is>
          <t>3年后净利(2029)</t>
        </is>
      </c>
      <c r="F6" s="9">
        <f>F2*F5*(1+F4)^3</f>
        <v/>
      </c>
      <c r="G6" s="3" t="n"/>
      <c r="H6" s="3" t="n"/>
      <c r="J6" s="11" t="n"/>
      <c r="K6" s="18" t="n"/>
      <c r="L6" s="18" t="n"/>
      <c r="M6" s="18" t="n"/>
      <c r="N6" s="18" t="n"/>
      <c r="O6" s="18" t="n"/>
      <c r="P6" s="22" t="n"/>
      <c r="Q6" s="22" t="n"/>
      <c r="R6" s="22" t="n"/>
      <c r="S6" s="18" t="n"/>
    </row>
    <row r="7">
      <c r="A7" s="3" t="n">
        <v>2020</v>
      </c>
      <c r="B7" s="3" t="n">
        <v>18.55</v>
      </c>
      <c r="C7" s="4">
        <f>(B7-B8)/B8</f>
        <v/>
      </c>
      <c r="E7" s="3" t="inlineStr">
        <is>
          <t>合理pe(无风险倒数)</t>
        </is>
      </c>
      <c r="F7" s="9" t="n">
        <v>27.5</v>
      </c>
      <c r="G7" s="3" t="n"/>
      <c r="H7" s="3" t="n"/>
      <c r="J7" s="11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</row>
    <row r="8">
      <c r="A8" s="3" t="n">
        <v>2019</v>
      </c>
      <c r="B8" s="3" t="n">
        <v>20.98</v>
      </c>
      <c r="C8" s="4">
        <f>(B8-B9)/B9</f>
        <v/>
      </c>
      <c r="E8" s="3" t="inlineStr">
        <is>
          <t>B股流动性折扣</t>
        </is>
      </c>
      <c r="F8" s="3" t="n">
        <v>0.8</v>
      </c>
      <c r="G8" s="3" t="n"/>
      <c r="H8" s="3" t="n"/>
      <c r="J8" s="11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</row>
    <row r="9">
      <c r="A9" s="3" t="n">
        <v>2018</v>
      </c>
      <c r="B9" s="3" t="n">
        <v>16.95</v>
      </c>
      <c r="C9" s="4">
        <f>(B9-B10)/B10</f>
        <v/>
      </c>
      <c r="E9" s="3" t="inlineStr">
        <is>
          <t>估计市值</t>
        </is>
      </c>
      <c r="F9" s="9">
        <f>F6*F7*F8</f>
        <v/>
      </c>
      <c r="G9" s="3" t="n"/>
      <c r="H9" s="3" t="n"/>
      <c r="J9" s="11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</row>
    <row r="10">
      <c r="A10" s="3" t="n">
        <v>2017</v>
      </c>
      <c r="B10" s="3" t="n">
        <v>11.49</v>
      </c>
      <c r="C10" s="4">
        <f>(B10-B11)/B11</f>
        <v/>
      </c>
      <c r="E10" s="3" t="inlineStr">
        <is>
          <t>安全边际</t>
        </is>
      </c>
      <c r="F10" s="3" t="n">
        <v>0.5</v>
      </c>
      <c r="G10" s="3" t="n"/>
      <c r="H10" s="3" t="n"/>
      <c r="J10" s="11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</row>
    <row r="11">
      <c r="A11" s="3" t="n">
        <v>2016</v>
      </c>
      <c r="B11" s="3" t="n">
        <v>8.300000000000001</v>
      </c>
      <c r="C11" s="4">
        <f>(B11-B12)/B12</f>
        <v/>
      </c>
      <c r="E11" s="3" t="inlineStr">
        <is>
          <t>买点</t>
        </is>
      </c>
      <c r="F11" s="3">
        <f>F9*F10</f>
        <v/>
      </c>
      <c r="G11" s="3" t="n"/>
      <c r="H11" s="3" t="n"/>
      <c r="J11" s="11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</row>
    <row r="12">
      <c r="A12" s="3" t="n">
        <v>2015</v>
      </c>
      <c r="B12" s="3" t="n">
        <v>7.16</v>
      </c>
      <c r="C12" s="3">
        <f>(B12-B13)/B13</f>
        <v/>
      </c>
      <c r="E12" s="3" t="inlineStr">
        <is>
          <t>卖点一(当年×50PE×B股0.8)</t>
        </is>
      </c>
      <c r="F12" s="3">
        <f>F2*50*F8</f>
        <v/>
      </c>
      <c r="G12" s="3" t="n"/>
      <c r="H12" s="3" t="n"/>
      <c r="J12" s="11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</row>
    <row r="13">
      <c r="A13" s="3" t="n">
        <v>2014</v>
      </c>
      <c r="B13" s="3" t="n">
        <v>5.97</v>
      </c>
      <c r="C13" s="3" t="n"/>
      <c r="E13" s="3" t="inlineStr">
        <is>
          <t>卖点二(当年×55PE×B股0.8)</t>
        </is>
      </c>
      <c r="F13" s="3">
        <f>F2*55*F8</f>
        <v/>
      </c>
      <c r="G13" s="3" t="n"/>
      <c r="H13" s="3" t="n"/>
      <c r="J13" s="11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</row>
    <row r="14">
      <c r="A14" s="3" t="n"/>
      <c r="B14" s="3" t="n"/>
      <c r="C14" s="3" t="n"/>
      <c r="E14" t="inlineStr">
        <is>
          <t>卖点三(当年×60PE×B股0.8)</t>
        </is>
      </c>
      <c r="F14">
        <f>F2*60*F8</f>
        <v/>
      </c>
      <c r="J14" s="11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</row>
    <row r="15">
      <c r="A15" s="3" t="n"/>
      <c r="B15" s="3" t="n"/>
      <c r="C15" s="3" t="n"/>
    </row>
    <row r="16">
      <c r="A16" s="3" t="n"/>
      <c r="B16" s="3" t="n"/>
      <c r="C16" s="3" t="n"/>
    </row>
  </sheetData>
  <mergeCells count="2">
    <mergeCell ref="J1:S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workbookViewId="0">
      <selection activeCell="F20" sqref="F20"/>
    </sheetView>
  </sheetViews>
  <sheetFormatPr baseColWidth="8" defaultColWidth="9" defaultRowHeight="16.8"/>
  <cols>
    <col width="16.5" customWidth="1" min="1" max="1"/>
    <col width="11.3571428571429" customWidth="1" min="2" max="2"/>
    <col width="13.2142857142857" customWidth="1" min="3" max="3"/>
    <col width="12.7857142857143" customWidth="1" min="4" max="4"/>
    <col width="11.3571428571429" customWidth="1" min="5" max="5"/>
    <col width="13.2142857142857" customWidth="1" min="6" max="6"/>
    <col width="12.7857142857143" customWidth="1" min="7" max="7"/>
    <col width="45.6428571428571" customWidth="1" min="8" max="8"/>
  </cols>
  <sheetData>
    <row r="1">
      <c r="A1" t="inlineStr">
        <is>
          <t>年份</t>
        </is>
      </c>
      <c r="B1" t="inlineStr">
        <is>
          <t>Q1营收(亿)</t>
        </is>
      </c>
      <c r="C1" t="inlineStr">
        <is>
          <t>全年营收(亿)</t>
        </is>
      </c>
      <c r="D1" t="inlineStr">
        <is>
          <t>Q1营收占比</t>
        </is>
      </c>
      <c r="E1" t="inlineStr">
        <is>
          <t>Q1归母(亿)</t>
        </is>
      </c>
      <c r="F1" t="inlineStr">
        <is>
          <t>全年归母(亿)</t>
        </is>
      </c>
      <c r="G1" t="inlineStr">
        <is>
          <t>Q1归母占比</t>
        </is>
      </c>
      <c r="H1" t="inlineStr">
        <is>
          <t>备注</t>
        </is>
      </c>
    </row>
    <row r="2">
      <c r="A2" t="n">
        <v>2016</v>
      </c>
      <c r="B2" t="n">
        <v>18.43</v>
      </c>
      <c r="C2" t="n">
        <v>60.17</v>
      </c>
      <c r="D2">
        <f>B2/C2</f>
        <v/>
      </c>
      <c r="E2" t="n">
        <v>3.44</v>
      </c>
      <c r="F2" t="n">
        <v>8.300000000000001</v>
      </c>
      <c r="G2">
        <f>E2/F2</f>
        <v/>
      </c>
    </row>
    <row r="3">
      <c r="A3" t="n">
        <v>2017</v>
      </c>
      <c r="B3" t="n">
        <v>21.73</v>
      </c>
      <c r="C3" t="n">
        <v>69.68000000000001</v>
      </c>
      <c r="D3">
        <f>B3/C3</f>
        <v/>
      </c>
      <c r="E3" t="n">
        <v>4.08</v>
      </c>
      <c r="F3" t="n">
        <v>11.49</v>
      </c>
      <c r="G3">
        <f>E3/F3</f>
        <v/>
      </c>
    </row>
    <row r="4">
      <c r="A4" t="n">
        <v>2018</v>
      </c>
      <c r="B4" t="n">
        <v>25.6</v>
      </c>
      <c r="C4" t="n">
        <v>86.86</v>
      </c>
      <c r="D4">
        <f>B4/C4</f>
        <v/>
      </c>
      <c r="E4" t="n">
        <v>5.81</v>
      </c>
      <c r="F4" t="n">
        <v>16.95</v>
      </c>
      <c r="G4">
        <f>E4/F4</f>
        <v/>
      </c>
    </row>
    <row r="5">
      <c r="A5" t="n">
        <v>2019</v>
      </c>
      <c r="B5" t="n">
        <v>36.69</v>
      </c>
      <c r="C5" t="n">
        <v>104.17</v>
      </c>
      <c r="D5">
        <f>B5/C5</f>
        <v/>
      </c>
      <c r="E5" t="n">
        <v>7.83</v>
      </c>
      <c r="F5" t="n">
        <v>20.98</v>
      </c>
      <c r="G5">
        <f>E5/F5</f>
        <v/>
      </c>
    </row>
    <row r="6">
      <c r="A6" t="n">
        <v>2020</v>
      </c>
      <c r="B6" t="n">
        <v>32.81</v>
      </c>
      <c r="C6" t="n">
        <v>102.92</v>
      </c>
      <c r="D6">
        <f>B6/C6</f>
        <v/>
      </c>
      <c r="E6" t="n">
        <v>6.37</v>
      </c>
      <c r="F6" t="n">
        <v>18.55</v>
      </c>
      <c r="G6">
        <f>E6/F6</f>
        <v/>
      </c>
      <c r="H6" t="inlineStr">
        <is>
          <t>疫情年</t>
        </is>
      </c>
    </row>
    <row r="7">
      <c r="A7" t="n">
        <v>2021</v>
      </c>
      <c r="B7" t="n">
        <v>41.3</v>
      </c>
      <c r="C7" t="n">
        <v>132.7</v>
      </c>
      <c r="D7">
        <f>B7/C7</f>
        <v/>
      </c>
      <c r="E7" t="n">
        <v>8.140000000000001</v>
      </c>
      <c r="F7" t="n">
        <v>22.98</v>
      </c>
      <c r="G7">
        <f>E7/F7</f>
        <v/>
      </c>
    </row>
    <row r="8">
      <c r="A8" t="n">
        <v>2022</v>
      </c>
      <c r="B8" t="n">
        <v>52.74</v>
      </c>
      <c r="C8" t="n">
        <v>167.13</v>
      </c>
      <c r="D8">
        <f>B8/C8</f>
        <v/>
      </c>
      <c r="E8" t="n">
        <v>10.99</v>
      </c>
      <c r="F8" t="n">
        <v>31.43</v>
      </c>
      <c r="G8">
        <f>E8/F8</f>
        <v/>
      </c>
    </row>
    <row r="9">
      <c r="A9" t="n">
        <v>2023</v>
      </c>
      <c r="B9" t="n">
        <v>65.84</v>
      </c>
      <c r="C9" t="n">
        <v>202.54</v>
      </c>
      <c r="D9">
        <f>B9/C9</f>
        <v/>
      </c>
      <c r="E9" t="n">
        <v>15.7</v>
      </c>
      <c r="F9" t="n">
        <v>45.89</v>
      </c>
      <c r="G9">
        <f>E9/F9</f>
        <v/>
      </c>
    </row>
    <row r="10">
      <c r="A10" t="n">
        <v>2024</v>
      </c>
      <c r="B10" t="n">
        <v>82.86</v>
      </c>
      <c r="C10" t="n">
        <v>235.78</v>
      </c>
      <c r="D10">
        <f>B10/C10</f>
        <v/>
      </c>
      <c r="E10" t="n">
        <v>20.66</v>
      </c>
      <c r="F10" t="n">
        <v>55.17</v>
      </c>
      <c r="G10">
        <f>E10/F10</f>
        <v/>
      </c>
    </row>
    <row r="11">
      <c r="A11" t="n">
        <v>2025</v>
      </c>
      <c r="B11" t="n">
        <v>91.45999999999999</v>
      </c>
      <c r="C11" t="n">
        <v>188.32</v>
      </c>
      <c r="D11">
        <f>B11/C11</f>
        <v/>
      </c>
      <c r="E11" t="n">
        <v>23.3</v>
      </c>
      <c r="F11" t="n">
        <v>35.49</v>
      </c>
      <c r="G11">
        <f>E11/F11</f>
        <v/>
      </c>
      <c r="H11" t="inlineStr">
        <is>
          <t>前高后低·Q3骤降Q4亏·Q1占比飙</t>
        </is>
      </c>
    </row>
    <row r="12">
      <c r="A12" t="n">
        <v>2026</v>
      </c>
      <c r="B12" t="n">
        <v>74.45999999999999</v>
      </c>
      <c r="E12" t="n">
        <v>16.07</v>
      </c>
      <c r="H12" t="inlineStr">
        <is>
          <t>2026 Q1实际(扣非15.98/归母16.07,-30.86%)</t>
        </is>
      </c>
    </row>
    <row r="13">
      <c r="A13" t="inlineStr">
        <is>
          <t>均值16-24</t>
        </is>
      </c>
      <c r="D13">
        <f>AVERAGE(D2:D10)</f>
        <v/>
      </c>
      <c r="G13">
        <f>AVERAGE(G2:G10)</f>
        <v/>
      </c>
      <c r="H13" t="inlineStr">
        <is>
          <t>正常年份(剔2025崩盘年)</t>
        </is>
      </c>
    </row>
    <row r="14">
      <c r="A14" t="inlineStr">
        <is>
          <t>2025(崩盘年)</t>
        </is>
      </c>
      <c r="D14">
        <f>D11</f>
        <v/>
      </c>
      <c r="G14">
        <f>G11</f>
        <v/>
      </c>
      <c r="H14" t="inlineStr">
        <is>
          <t>Q1占比异常高</t>
        </is>
      </c>
    </row>
    <row r="15">
      <c r="A15" t="inlineStr">
        <is>
          <t>2026E测算</t>
        </is>
      </c>
      <c r="H15" t="inlineStr">
        <is>
          <t>2026E归母=Q1归母16.07/假设Q1占比</t>
        </is>
      </c>
    </row>
    <row r="16">
      <c r="A16" t="inlineStr">
        <is>
          <t>36%(正常·荒谬)</t>
        </is>
      </c>
      <c r="F16">
        <f>16.07/G16</f>
        <v/>
      </c>
      <c r="G16" t="n">
        <v>0.36</v>
      </c>
      <c r="H16" t="inlineStr">
        <is>
          <t>对应全年增速见右</t>
        </is>
      </c>
    </row>
    <row r="17">
      <c r="A17" t="inlineStr">
        <is>
          <t>50%</t>
        </is>
      </c>
      <c r="F17">
        <f>16.07/G17</f>
        <v/>
      </c>
      <c r="G17" t="n">
        <v>0.5</v>
      </c>
      <c r="H17" t="inlineStr">
        <is>
          <t>对应全年增速见右</t>
        </is>
      </c>
    </row>
    <row r="18">
      <c r="A18" t="inlineStr">
        <is>
          <t>55%</t>
        </is>
      </c>
      <c r="F18">
        <f>16.07/G18</f>
        <v/>
      </c>
      <c r="G18" t="n">
        <v>0.55</v>
      </c>
      <c r="H18" t="inlineStr">
        <is>
          <t>对应全年增速见右</t>
        </is>
      </c>
    </row>
    <row r="19">
      <c r="A19" t="inlineStr">
        <is>
          <t>60%</t>
        </is>
      </c>
      <c r="F19">
        <f>16.07/G19</f>
        <v/>
      </c>
      <c r="G19" t="n">
        <v>0.6</v>
      </c>
      <c r="H19" t="inlineStr">
        <is>
          <t>对应全年增速见右</t>
        </is>
      </c>
    </row>
    <row r="20">
      <c r="A20" t="inlineStr">
        <is>
          <t>65.7%(同2025)</t>
        </is>
      </c>
      <c r="F20">
        <f>16.07/G20</f>
        <v/>
      </c>
      <c r="G20" t="n">
        <v>0.657</v>
      </c>
      <c r="H20" t="inlineStr">
        <is>
          <t>对应全年增速见右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zyz</dc:creator>
  <dcterms:created xmlns:dcterms="http://purl.org/dc/terms/" xmlns:xsi="http://www.w3.org/2001/XMLSchema-instance" xsi:type="dcterms:W3CDTF">2015-06-06T10:19:00Z</dcterms:created>
  <dcterms:modified xmlns:dcterms="http://purl.org/dc/terms/" xmlns:xsi="http://www.w3.org/2001/XMLSchema-instance" xsi:type="dcterms:W3CDTF">2026-06-29T02:12:40Z</dcterms:modified>
  <cp:lastModifiedBy>叫我ZYZ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1F4B316320C24F31CA284D68E727AE9A_42</vt:lpwstr>
  </property>
  <property name="KSOProductBuildVer" fmtid="{D5CDD505-2E9C-101B-9397-08002B2CF9AE}" pid="3">
    <vt:lpwstr xmlns:vt="http://schemas.openxmlformats.org/officeDocument/2006/docPropsVTypes">2052-6.14.0.8924</vt:lpwstr>
  </property>
</Properties>
</file>