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860" activeTab="1"/>
  </bookViews>
  <sheets>
    <sheet name="Sheet1" sheetId="1" r:id="rId1"/>
    <sheet name="季度占比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<sst xmlns="http://schemas.openxmlformats.org/spreadsheetml/2006/main" count="55" uniqueCount="47">
  <si>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>年份</t>
  </si>
  <si>
    <t>归母净利润(亿)</t>
  </si>
  <si>
    <t>增速</t>
  </si>
  <si>
    <t>成长估值法</t>
  </si>
  <si>
    <t>买卖点历史</t>
  </si>
  <si>
    <t>当年净利(2026E)</t>
  </si>
  <si>
    <t>日期</t>
  </si>
  <si>
    <t>股本（亿）</t>
  </si>
  <si>
    <t>买点(亿)</t>
  </si>
  <si>
    <t>价格</t>
  </si>
  <si>
    <t>卖点一(亿)/价格</t>
  </si>
  <si>
    <t>卖点二(亿)/价格</t>
  </si>
  <si>
    <t>卖点三(亿)/价格</t>
  </si>
  <si>
    <t>2026增速(Q1占比60%反推)</t>
  </si>
  <si>
    <t>前瞻增速(2027-29)</t>
  </si>
  <si>
    <t>净利润折扣</t>
  </si>
  <si>
    <t>3年后净利(2029)</t>
  </si>
  <si>
    <t>合理pe(无风险倒数)</t>
  </si>
  <si>
    <t>B股流动性折扣</t>
  </si>
  <si>
    <t>估计市值</t>
  </si>
  <si>
    <t>安全边际</t>
  </si>
  <si>
    <t>买点</t>
  </si>
  <si>
    <t>卖点一(当年×50PE×B股0.8)</t>
  </si>
  <si>
    <t>卖点二(当年×55PE×B股0.8)</t>
  </si>
  <si>
    <t>卖点三(当年×60PE×B股0.8)</t>
  </si>
  <si>
    <t>Q1营收(亿)</t>
  </si>
  <si>
    <t>全年营收(亿)</t>
  </si>
  <si>
    <t>Q1营收占比</t>
  </si>
  <si>
    <t>Q1归母(亿)</t>
  </si>
  <si>
    <t>全年归母(亿)</t>
  </si>
  <si>
    <t>Q1归母占比</t>
  </si>
  <si>
    <t>备注</t>
  </si>
  <si>
    <t>疫情年</t>
  </si>
  <si>
    <t>前高后低·Q3骤降Q4亏·Q1占比飙</t>
  </si>
  <si>
    <t>2026 Q1实际(扣非15.98/归母16.07,-30.86%)</t>
  </si>
  <si>
    <t>均值16-24</t>
  </si>
  <si>
    <t>正常年份(剔2025崩盘年)</t>
  </si>
  <si>
    <t>2025(崩盘年)</t>
  </si>
  <si>
    <t>Q1占比异常高</t>
  </si>
  <si>
    <t>2026E测算</t>
  </si>
  <si>
    <t>2026E归母=Q1归母16.07/假设Q1占比</t>
  </si>
  <si>
    <t>36%(正常·荒谬)</t>
  </si>
  <si>
    <t>对应全年增速见右</t>
  </si>
  <si>
    <t>50%</t>
  </si>
  <si>
    <t>55%</t>
  </si>
  <si>
    <t>60%</t>
  </si>
  <si>
    <t>65.7%(同2025)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</si>
</sst>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4" borderId="7">
      <alignment vertical="center"/>
    </xf>
    <xf numFmtId="0" fontId="14" fillId="5" borderId="8">
      <alignment vertical="center"/>
    </xf>
    <xf numFmtId="0" fontId="15" fillId="5" borderId="7">
      <alignment vertical="center"/>
    </xf>
    <xf numFmtId="0" fontId="16" fillId="6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8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10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9" fontId="2" fillId="0" borderId="1" xfId="0" applyNumberFormat="1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workbookViewId="0">
      <selection activeCell="N19" sqref="N19"/>
    </sheetView>
  </sheetViews>
  <sheetFormatPr defaultColWidth="9" defaultRowHeight="16.8"/>
  <cols>
    <col min="5" max="5" width="26.3571428571429" customWidth="1"/>
    <col min="6" max="6" width="12.7857142857143" customWidth="1"/>
    <col min="7" max="7" width="19.8571428571429" customWidth="1"/>
    <col min="8" max="8" width="11.6428571428571" customWidth="1"/>
    <col min="10" max="10" width="11.2857142857143" customWidth="1"/>
    <col min="11" max="11" width="11.7142857142857" customWidth="1"/>
    <col min="14" max="14" width="16.8571428571429" customWidth="1"/>
    <col min="16" max="16" width="16.8571428571429" customWidth="1"/>
    <col min="18" max="18" width="16.8571428571429" customWidth="1"/>
  </cols>
  <sheetData>
    <row r="1" ht="23.2" customHeight="1" spans="1:19">
      <c r="A1" s="1" t="s">
        <v>0</v>
      </c>
      <c r="B1" s="1" t="s">
        <v>1</v>
      </c>
      <c r="C1" s="1" t="s">
        <v>2</v>
      </c>
      <c r="D1" s="2"/>
      <c r="E1" s="5" t="s">
        <v>3</v>
      </c>
      <c r="F1" s="6"/>
      <c r="G1" s="7"/>
      <c r="H1" s="3"/>
      <c r="J1" s="10" t="s">
        <v>4</v>
      </c>
      <c r="K1" s="6"/>
      <c r="L1" s="6"/>
      <c r="M1" s="6"/>
      <c r="N1" s="6"/>
      <c r="O1" s="6"/>
      <c r="P1" s="6"/>
      <c r="Q1" s="6"/>
      <c r="R1" s="6"/>
      <c r="S1" s="7"/>
    </row>
    <row r="2" spans="1:19">
      <c r="A2" s="3">
        <v>2025</v>
      </c>
      <c r="B2" s="3">
        <v>35.49</v>
      </c>
      <c r="C2" s="4">
        <f t="shared" ref="C2:C12" si="0">(B2-B3)/B3</f>
        <v>-0.356715606307776</v>
      </c>
      <c r="E2" s="3" t="s">
        <v>5</v>
      </c>
      <c r="F2" s="3">
        <f>B2*(1+F3)</f>
        <v>26.79495</v>
      </c>
      <c r="G2" s="3"/>
      <c r="H2" s="3"/>
      <c r="J2" s="11" t="s">
        <v>6</v>
      </c>
      <c r="K2" s="11" t="s">
        <v>7</v>
      </c>
      <c r="L2" s="11" t="s">
        <v>8</v>
      </c>
      <c r="M2" s="11" t="s">
        <v>9</v>
      </c>
      <c r="N2" s="11" t="s">
        <v>10</v>
      </c>
      <c r="O2" s="11" t="s">
        <v>9</v>
      </c>
      <c r="P2" s="11" t="s">
        <v>11</v>
      </c>
      <c r="Q2" s="11" t="s">
        <v>9</v>
      </c>
      <c r="R2" s="11" t="s">
        <v>12</v>
      </c>
      <c r="S2" s="11" t="s">
        <v>9</v>
      </c>
    </row>
    <row r="3" spans="1:19">
      <c r="A3" s="3">
        <v>2024</v>
      </c>
      <c r="B3" s="3">
        <v>55.17</v>
      </c>
      <c r="C3" s="4">
        <f t="shared" si="0"/>
        <v>0.202222706471998</v>
      </c>
      <c r="E3" s="3" t="s">
        <v>13</v>
      </c>
      <c r="F3" s="8">
        <v>-0.245</v>
      </c>
      <c r="G3" s="3"/>
      <c r="H3" s="3"/>
      <c r="J3" s="12">
        <v>45822</v>
      </c>
      <c r="K3" s="13">
        <v>5.29</v>
      </c>
      <c r="L3" s="14">
        <v>550</v>
      </c>
      <c r="M3" s="14">
        <f>L3/K3</f>
        <v>103.969754253308</v>
      </c>
      <c r="N3" s="14">
        <v>1650</v>
      </c>
      <c r="O3" s="14">
        <f>N3/K3</f>
        <v>311.909262759924</v>
      </c>
      <c r="P3" s="14">
        <f>N3*1.1</f>
        <v>1815</v>
      </c>
      <c r="Q3" s="14">
        <f>P3/K3</f>
        <v>343.100189035917</v>
      </c>
      <c r="R3" s="14">
        <f>P3*1.1</f>
        <v>1996.5</v>
      </c>
      <c r="S3" s="13">
        <f>R3/K3</f>
        <v>377.410207939509</v>
      </c>
    </row>
    <row r="4" spans="1:19">
      <c r="A4" s="3">
        <v>2023</v>
      </c>
      <c r="B4" s="3">
        <v>45.89</v>
      </c>
      <c r="C4" s="4">
        <f t="shared" si="0"/>
        <v>0.460069996818326</v>
      </c>
      <c r="E4" s="3" t="s">
        <v>14</v>
      </c>
      <c r="F4" s="9">
        <v>0.03</v>
      </c>
      <c r="G4" s="3"/>
      <c r="H4" s="3"/>
      <c r="J4" s="12">
        <v>46192</v>
      </c>
      <c r="K4" s="13">
        <v>5.29</v>
      </c>
      <c r="L4" s="13">
        <v>264</v>
      </c>
      <c r="M4" s="14">
        <f>L4/K4</f>
        <v>49.9054820415879</v>
      </c>
      <c r="N4" s="13">
        <v>1072</v>
      </c>
      <c r="O4" s="14">
        <f>N4/K4</f>
        <v>202.646502835539</v>
      </c>
      <c r="P4" s="14">
        <v>1179</v>
      </c>
      <c r="Q4" s="14">
        <f>P4/K4</f>
        <v>222.873345935728</v>
      </c>
      <c r="R4" s="14">
        <v>1286</v>
      </c>
      <c r="S4" s="13">
        <f>R4/K4</f>
        <v>243.100189035917</v>
      </c>
    </row>
    <row r="5" spans="1:19">
      <c r="A5" s="3">
        <v>2022</v>
      </c>
      <c r="B5" s="3">
        <v>31.43</v>
      </c>
      <c r="C5" s="4">
        <f t="shared" si="0"/>
        <v>0.367711053089643</v>
      </c>
      <c r="E5" s="3" t="s">
        <v>15</v>
      </c>
      <c r="F5" s="3">
        <v>0.9</v>
      </c>
      <c r="G5" s="3"/>
      <c r="H5" s="3"/>
      <c r="J5" s="11"/>
      <c r="K5" s="13"/>
      <c r="L5" s="13"/>
      <c r="M5" s="13"/>
      <c r="N5" s="15"/>
      <c r="O5" s="15"/>
      <c r="P5" s="16"/>
      <c r="Q5" s="16"/>
      <c r="R5" s="16"/>
      <c r="S5" s="15"/>
    </row>
    <row r="6" spans="1:19">
      <c r="A6" s="3">
        <v>2021</v>
      </c>
      <c r="B6" s="3">
        <v>22.98</v>
      </c>
      <c r="C6" s="4">
        <f t="shared" si="0"/>
        <v>0.238814016172507</v>
      </c>
      <c r="E6" s="3" t="s">
        <v>16</v>
      </c>
      <c r="F6" s="9">
        <f>F2*F5*(1+F4)^3</f>
        <v>26.351608795785</v>
      </c>
      <c r="G6" s="3"/>
      <c r="H6" s="3"/>
      <c r="J6" s="11"/>
      <c r="K6" s="13"/>
      <c r="L6" s="13"/>
      <c r="M6" s="13"/>
      <c r="N6" s="13"/>
      <c r="O6" s="13"/>
      <c r="P6" s="17"/>
      <c r="Q6" s="17"/>
      <c r="R6" s="17"/>
      <c r="S6" s="13"/>
    </row>
    <row r="7" spans="1:19">
      <c r="A7" s="3">
        <v>2020</v>
      </c>
      <c r="B7" s="3">
        <v>18.55</v>
      </c>
      <c r="C7" s="4">
        <f t="shared" si="0"/>
        <v>-0.11582459485224</v>
      </c>
      <c r="E7" s="3" t="s">
        <v>17</v>
      </c>
      <c r="F7" s="9">
        <v>25</v>
      </c>
      <c r="G7" s="3"/>
      <c r="H7" s="3"/>
      <c r="J7" s="11"/>
      <c r="K7" s="13"/>
      <c r="L7" s="13"/>
      <c r="M7" s="13"/>
      <c r="N7" s="13"/>
      <c r="O7" s="13"/>
      <c r="P7" s="13"/>
      <c r="Q7" s="13"/>
      <c r="R7" s="13"/>
      <c r="S7" s="13"/>
    </row>
    <row r="8" spans="1:19">
      <c r="A8" s="3">
        <v>2019</v>
      </c>
      <c r="B8" s="3">
        <v>20.98</v>
      </c>
      <c r="C8" s="4">
        <f t="shared" si="0"/>
        <v>0.237758112094395</v>
      </c>
      <c r="E8" s="3" t="s">
        <v>18</v>
      </c>
      <c r="F8" s="3">
        <v>0.8</v>
      </c>
      <c r="G8" s="3"/>
      <c r="H8" s="3"/>
      <c r="J8" s="11"/>
      <c r="K8" s="13"/>
      <c r="L8" s="13"/>
      <c r="M8" s="13"/>
      <c r="N8" s="13"/>
      <c r="O8" s="13"/>
      <c r="P8" s="13"/>
      <c r="Q8" s="13"/>
      <c r="R8" s="13"/>
      <c r="S8" s="13"/>
    </row>
    <row r="9" spans="1:19">
      <c r="A9" s="3">
        <v>2018</v>
      </c>
      <c r="B9" s="3">
        <v>16.95</v>
      </c>
      <c r="C9" s="4">
        <f t="shared" si="0"/>
        <v>0.475195822454308</v>
      </c>
      <c r="E9" s="3" t="s">
        <v>19</v>
      </c>
      <c r="F9" s="9">
        <f>F6*F7*F8</f>
        <v>527.0321759157</v>
      </c>
      <c r="G9" s="3"/>
      <c r="H9" s="3"/>
      <c r="J9" s="11"/>
      <c r="K9" s="13"/>
      <c r="L9" s="13"/>
      <c r="M9" s="13"/>
      <c r="N9" s="13"/>
      <c r="O9" s="13"/>
      <c r="P9" s="13"/>
      <c r="Q9" s="13"/>
      <c r="R9" s="13"/>
      <c r="S9" s="13"/>
    </row>
    <row r="10" spans="1:19">
      <c r="A10" s="3">
        <v>2017</v>
      </c>
      <c r="B10" s="3">
        <v>11.49</v>
      </c>
      <c r="C10" s="4">
        <f t="shared" si="0"/>
        <v>0.38433734939759</v>
      </c>
      <c r="E10" s="3" t="s">
        <v>20</v>
      </c>
      <c r="F10" s="3">
        <v>0.5</v>
      </c>
      <c r="G10" s="3"/>
      <c r="H10" s="3"/>
      <c r="J10" s="11"/>
      <c r="K10" s="13"/>
      <c r="L10" s="13"/>
      <c r="M10" s="13"/>
      <c r="N10" s="13"/>
      <c r="O10" s="13"/>
      <c r="P10" s="13"/>
      <c r="Q10" s="13"/>
      <c r="R10" s="13"/>
      <c r="S10" s="13"/>
    </row>
    <row r="11" spans="1:19">
      <c r="A11" s="3">
        <v>2016</v>
      </c>
      <c r="B11" s="3">
        <v>8.3</v>
      </c>
      <c r="C11" s="4">
        <f t="shared" si="0"/>
        <v>0.159217877094972</v>
      </c>
      <c r="E11" s="3" t="s">
        <v>21</v>
      </c>
      <c r="F11" s="3">
        <f>F9*F10</f>
        <v>263.51608795785</v>
      </c>
      <c r="G11" s="3"/>
      <c r="H11" s="3"/>
      <c r="J11" s="11"/>
      <c r="K11" s="13"/>
      <c r="L11" s="13"/>
      <c r="M11" s="13"/>
      <c r="N11" s="13"/>
      <c r="O11" s="13"/>
      <c r="P11" s="13"/>
      <c r="Q11" s="13"/>
      <c r="R11" s="13"/>
      <c r="S11" s="13"/>
    </row>
    <row r="12" spans="1:19">
      <c r="A12" s="3">
        <v>2015</v>
      </c>
      <c r="B12" s="3">
        <v>7.16</v>
      </c>
      <c r="C12" s="3">
        <f t="shared" si="0"/>
        <v>0.199329983249581</v>
      </c>
      <c r="E12" s="3" t="s">
        <v>22</v>
      </c>
      <c r="F12" s="3">
        <f>F2*50*F8</f>
        <v>1071.798</v>
      </c>
      <c r="G12" s="3"/>
      <c r="H12" s="3"/>
      <c r="J12" s="11"/>
      <c r="K12" s="13"/>
      <c r="L12" s="13"/>
      <c r="M12" s="13"/>
      <c r="N12" s="13"/>
      <c r="O12" s="13"/>
      <c r="P12" s="13"/>
      <c r="Q12" s="13"/>
      <c r="R12" s="13"/>
      <c r="S12" s="13"/>
    </row>
    <row r="13" spans="1:19">
      <c r="A13" s="3">
        <v>2014</v>
      </c>
      <c r="B13" s="3">
        <v>5.97</v>
      </c>
      <c r="C13" s="3"/>
      <c r="E13" s="3" t="s">
        <v>23</v>
      </c>
      <c r="F13" s="3">
        <f>F2*55*F8</f>
        <v>1178.9778</v>
      </c>
      <c r="G13" s="3"/>
      <c r="H13" s="3"/>
      <c r="J13" s="11"/>
      <c r="K13" s="13"/>
      <c r="L13" s="13"/>
      <c r="M13" s="13"/>
      <c r="N13" s="13"/>
      <c r="O13" s="13"/>
      <c r="P13" s="13"/>
      <c r="Q13" s="13"/>
      <c r="R13" s="13"/>
      <c r="S13" s="13"/>
    </row>
    <row r="14" spans="1:19">
      <c r="A14" s="3"/>
      <c r="B14" s="3"/>
      <c r="C14" s="3"/>
      <c r="E14" t="s">
        <v>24</v>
      </c>
      <c r="F14">
        <f>F2*60*F8</f>
        <v>1286.1576</v>
      </c>
      <c r="J14" s="11"/>
      <c r="K14" s="13"/>
      <c r="L14" s="13"/>
      <c r="M14" s="13"/>
      <c r="N14" s="13"/>
      <c r="O14" s="13"/>
      <c r="P14" s="13"/>
      <c r="Q14" s="13"/>
      <c r="R14" s="13"/>
      <c r="S14" s="13"/>
    </row>
    <row r="15" spans="1:3">
      <c r="A15" s="3"/>
      <c r="B15" s="3"/>
      <c r="C15" s="3"/>
    </row>
    <row r="16" spans="1:3">
      <c r="A16" s="3"/>
      <c r="B16" s="3"/>
      <c r="C16" s="3"/>
    </row>
  </sheetData>
  <mergeCells count="2">
    <mergeCell ref="E1:G1"/>
    <mergeCell ref="J1:S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F20" sqref="F20"/>
    </sheetView>
  </sheetViews>
  <sheetFormatPr defaultColWidth="9" defaultRowHeight="16.8" outlineLevelCol="7"/>
  <cols>
    <col min="1" max="1" width="16.5" customWidth="1"/>
    <col min="2" max="2" width="11.3571428571429" customWidth="1"/>
    <col min="3" max="3" width="13.2142857142857" customWidth="1"/>
    <col min="4" max="4" width="12.7857142857143" customWidth="1"/>
    <col min="5" max="5" width="11.3571428571429" customWidth="1"/>
    <col min="6" max="6" width="13.2142857142857" customWidth="1"/>
    <col min="7" max="7" width="12.7857142857143" customWidth="1"/>
    <col min="8" max="8" width="45.6428571428571" customWidth="1"/>
  </cols>
  <sheetData>
    <row r="1" spans="1:8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7">
      <c r="A2">
        <v>2016</v>
      </c>
      <c r="B2">
        <v>18.43</v>
      </c>
      <c r="C2">
        <v>60.17</v>
      </c>
      <c r="D2">
        <f t="shared" ref="D2:D11" si="0">B2/C2</f>
        <v>0.306298820009972</v>
      </c>
      <c r="E2">
        <v>3.44</v>
      </c>
      <c r="F2">
        <v>8.3</v>
      </c>
      <c r="G2">
        <f t="shared" ref="G2:G11" si="1">E2/F2</f>
        <v>0.414457831325301</v>
      </c>
    </row>
    <row r="3" spans="1:7">
      <c r="A3">
        <v>2017</v>
      </c>
      <c r="B3">
        <v>21.73</v>
      </c>
      <c r="C3">
        <v>69.68</v>
      </c>
      <c r="D3">
        <f t="shared" si="0"/>
        <v>0.311854190585534</v>
      </c>
      <c r="E3">
        <v>4.08</v>
      </c>
      <c r="F3">
        <v>11.49</v>
      </c>
      <c r="G3">
        <f t="shared" si="1"/>
        <v>0.35509138381201</v>
      </c>
    </row>
    <row r="4" spans="1:7">
      <c r="A4">
        <v>2018</v>
      </c>
      <c r="B4">
        <v>25.6</v>
      </c>
      <c r="C4">
        <v>86.86</v>
      </c>
      <c r="D4">
        <f t="shared" si="0"/>
        <v>0.294727147133318</v>
      </c>
      <c r="E4">
        <v>5.81</v>
      </c>
      <c r="F4">
        <v>16.95</v>
      </c>
      <c r="G4">
        <f t="shared" si="1"/>
        <v>0.342772861356932</v>
      </c>
    </row>
    <row r="5" spans="1:7">
      <c r="A5">
        <v>2019</v>
      </c>
      <c r="B5">
        <v>36.69</v>
      </c>
      <c r="C5">
        <v>104.17</v>
      </c>
      <c r="D5">
        <f t="shared" si="0"/>
        <v>0.352212729192666</v>
      </c>
      <c r="E5">
        <v>7.83</v>
      </c>
      <c r="F5">
        <v>20.98</v>
      </c>
      <c r="G5">
        <f t="shared" si="1"/>
        <v>0.373212583412774</v>
      </c>
    </row>
    <row r="6" spans="1:8">
      <c r="A6">
        <v>2020</v>
      </c>
      <c r="B6">
        <v>32.81</v>
      </c>
      <c r="C6">
        <v>102.92</v>
      </c>
      <c r="D6">
        <f t="shared" si="0"/>
        <v>0.318791294209094</v>
      </c>
      <c r="E6">
        <v>6.37</v>
      </c>
      <c r="F6">
        <v>18.55</v>
      </c>
      <c r="G6">
        <f t="shared" si="1"/>
        <v>0.343396226415094</v>
      </c>
      <c r="H6" t="s">
        <v>32</v>
      </c>
    </row>
    <row r="7" spans="1:7">
      <c r="A7">
        <v>2021</v>
      </c>
      <c r="B7">
        <v>41.3</v>
      </c>
      <c r="C7">
        <v>132.7</v>
      </c>
      <c r="D7">
        <f t="shared" si="0"/>
        <v>0.311228334589299</v>
      </c>
      <c r="E7">
        <v>8.14</v>
      </c>
      <c r="F7">
        <v>22.98</v>
      </c>
      <c r="G7">
        <f t="shared" si="1"/>
        <v>0.354221061792863</v>
      </c>
    </row>
    <row r="8" spans="1:7">
      <c r="A8">
        <v>2022</v>
      </c>
      <c r="B8">
        <v>52.74</v>
      </c>
      <c r="C8">
        <v>167.13</v>
      </c>
      <c r="D8">
        <f t="shared" si="0"/>
        <v>0.315562735595046</v>
      </c>
      <c r="E8">
        <v>10.99</v>
      </c>
      <c r="F8">
        <v>31.43</v>
      </c>
      <c r="G8">
        <f t="shared" si="1"/>
        <v>0.349665924276169</v>
      </c>
    </row>
    <row r="9" spans="1:7">
      <c r="A9">
        <v>2023</v>
      </c>
      <c r="B9">
        <v>65.84</v>
      </c>
      <c r="C9">
        <v>202.54</v>
      </c>
      <c r="D9">
        <f t="shared" si="0"/>
        <v>0.32507159079688</v>
      </c>
      <c r="E9">
        <v>15.7</v>
      </c>
      <c r="F9">
        <v>45.89</v>
      </c>
      <c r="G9">
        <f t="shared" si="1"/>
        <v>0.342122466768359</v>
      </c>
    </row>
    <row r="10" spans="1:7">
      <c r="A10">
        <v>2024</v>
      </c>
      <c r="B10">
        <v>82.86</v>
      </c>
      <c r="C10">
        <v>235.78</v>
      </c>
      <c r="D10">
        <f t="shared" si="0"/>
        <v>0.3514292984986</v>
      </c>
      <c r="E10">
        <v>20.66</v>
      </c>
      <c r="F10">
        <v>55.17</v>
      </c>
      <c r="G10">
        <f t="shared" si="1"/>
        <v>0.374478883451151</v>
      </c>
    </row>
    <row r="11" spans="1:8">
      <c r="A11">
        <v>2025</v>
      </c>
      <c r="B11">
        <v>91.46</v>
      </c>
      <c r="C11">
        <v>188.32</v>
      </c>
      <c r="D11">
        <f t="shared" si="0"/>
        <v>0.485662701784197</v>
      </c>
      <c r="E11">
        <v>23.3</v>
      </c>
      <c r="F11">
        <v>35.49</v>
      </c>
      <c r="G11">
        <f t="shared" si="1"/>
        <v>0.656522964215272</v>
      </c>
      <c r="H11" t="s">
        <v>33</v>
      </c>
    </row>
    <row r="12" spans="1:8">
      <c r="A12">
        <v>2026</v>
      </c>
      <c r="B12">
        <v>74.46</v>
      </c>
      <c r="E12">
        <v>16.07</v>
      </c>
      <c r="H12" t="s">
        <v>34</v>
      </c>
    </row>
    <row r="13" spans="1:8">
      <c r="A13" t="s">
        <v>35</v>
      </c>
      <c r="D13">
        <f>AVERAGE(D2:D10)</f>
        <v>0.320797348956712</v>
      </c>
      <c r="G13">
        <f>AVERAGE(G2:G10)</f>
        <v>0.361046580290073</v>
      </c>
      <c r="H13" t="s">
        <v>36</v>
      </c>
    </row>
    <row r="14" spans="1:8">
      <c r="A14" t="s">
        <v>37</v>
      </c>
      <c r="D14">
        <f>D11</f>
        <v>0.485662701784197</v>
      </c>
      <c r="G14">
        <f>G11</f>
        <v>0.656522964215272</v>
      </c>
      <c r="H14" t="s">
        <v>38</v>
      </c>
    </row>
    <row r="15" spans="1:8">
      <c r="A15" t="s">
        <v>39</v>
      </c>
      <c r="H15" t="s">
        <v>40</v>
      </c>
    </row>
    <row r="16" spans="1:8">
      <c r="A16" t="s">
        <v>41</v>
      </c>
      <c r="F16">
        <f>16.07/G16</f>
        <v>44.6388888888889</v>
      </c>
      <c r="G16">
        <v>0.36</v>
      </c>
      <c r="H16" t="s">
        <v>42</v>
      </c>
    </row>
    <row r="17" spans="1:8">
      <c r="A17" t="s">
        <v>43</v>
      </c>
      <c r="F17">
        <f>16.07/G17</f>
        <v>32.14</v>
      </c>
      <c r="G17">
        <v>0.5</v>
      </c>
      <c r="H17" t="s">
        <v>42</v>
      </c>
    </row>
    <row r="18" spans="1:8">
      <c r="A18" t="s">
        <v>44</v>
      </c>
      <c r="F18">
        <f>16.07/G18</f>
        <v>29.2181818181818</v>
      </c>
      <c r="G18">
        <v>0.55</v>
      </c>
      <c r="H18" t="s">
        <v>42</v>
      </c>
    </row>
    <row r="19" spans="1:8">
      <c r="A19" t="s">
        <v>45</v>
      </c>
      <c r="F19">
        <f>16.07/G19</f>
        <v>26.7833333333333</v>
      </c>
      <c r="G19">
        <v>0.6</v>
      </c>
      <c r="H19" t="s">
        <v>42</v>
      </c>
    </row>
    <row r="20" spans="1:8">
      <c r="A20" t="s">
        <v>46</v>
      </c>
      <c r="F20">
        <f>16.07/G20</f>
        <v>24.4596651445967</v>
      </c>
      <c r="G20">
        <v>0.657</v>
      </c>
      <c r="H20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季度占比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zyz</dc:creator>
  <cp:lastModifiedBy>叫我ZYZ</cp:lastModifiedBy>
  <dcterms:created xsi:type="dcterms:W3CDTF">2015-06-06T10:19:00Z</dcterms:created>
  <dcterms:modified xsi:type="dcterms:W3CDTF">2026-06-19T14:55:26Z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1F4B316320C24F31CA284D68E727AE9A_42</vt:lpwstr>
  </property>
  <property fmtid="{D5CDD505-2E9C-101B-9397-08002B2CF9AE}" pid="3" name="KSOProductBuildVer">
    <vt:lpwstr>2052-6.14.0.8924</vt:lpwstr>
  </property>
</Properties>
</file>