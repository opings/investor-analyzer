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9100" windowHeight="129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营收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);[Red]\(0.00\)"/>
  </numFmts>
  <fonts count="28">
    <font>
      <name val="等线"/>
      <charset val="134"/>
      <color theme="1"/>
      <sz val="11"/>
      <scheme val="minor"/>
    </font>
    <font>
      <name val="等线"/>
      <charset val="134"/>
      <b val="1"/>
      <color theme="1"/>
      <sz val="14"/>
      <scheme val="minor"/>
    </font>
    <font>
      <name val="黑体"/>
      <charset val="134"/>
      <color theme="1"/>
      <sz val="12"/>
    </font>
    <font>
      <name val="黑体"/>
      <charset val="134"/>
      <color theme="1"/>
      <sz val="11"/>
    </font>
    <font>
      <name val="等线"/>
      <charset val="134"/>
      <b val="1"/>
      <color theme="1"/>
      <sz val="16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8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3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4" borderId="5" applyAlignment="1">
      <alignment vertical="center"/>
    </xf>
    <xf numFmtId="0" fontId="18" fillId="5" borderId="6" applyAlignment="1">
      <alignment vertical="center"/>
    </xf>
    <xf numFmtId="0" fontId="19" fillId="5" borderId="5" applyAlignment="1">
      <alignment vertical="center"/>
    </xf>
    <xf numFmtId="0" fontId="20" fillId="6" borderId="7" applyAlignment="1">
      <alignment vertical="center"/>
    </xf>
    <xf numFmtId="0" fontId="21" fillId="0" borderId="8" applyAlignment="1">
      <alignment vertical="center"/>
    </xf>
    <xf numFmtId="0" fontId="22" fillId="0" borderId="9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7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</cellStyleXfs>
  <cellXfs count="31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0" fillId="0" borderId="1" pivotButton="0" quotePrefix="0" xfId="0"/>
    <xf numFmtId="10" fontId="0" fillId="0" borderId="1" pivotButton="0" quotePrefix="0" xfId="0"/>
    <xf numFmtId="0" fontId="4" fillId="0" borderId="1" applyAlignment="1" pivotButton="0" quotePrefix="0" xfId="0">
      <alignment horizontal="center"/>
    </xf>
    <xf numFmtId="9" fontId="5" fillId="0" borderId="1" pivotButton="0" quotePrefix="0" xfId="0"/>
    <xf numFmtId="0" fontId="5" fillId="0" borderId="1" pivotButton="0" quotePrefix="0" xfId="0"/>
    <xf numFmtId="0" fontId="4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0" fontId="0" fillId="0" borderId="1" pivotButton="0" quotePrefix="0" xfId="0"/>
    <xf numFmtId="14" fontId="0" fillId="0" borderId="1" applyAlignment="1" pivotButton="0" quotePrefix="0" xfId="0">
      <alignment horizontal="left" vertical="top"/>
    </xf>
    <xf numFmtId="164" fontId="0" fillId="0" borderId="1" applyAlignment="1" pivotButton="0" quotePrefix="0" xfId="0">
      <alignment horizontal="left" vertical="top"/>
    </xf>
    <xf numFmtId="164" fontId="6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164" fontId="7" fillId="2" borderId="1" pivotButton="0" quotePrefix="0" xfId="0"/>
    <xf numFmtId="164" fontId="5" fillId="0" borderId="1" pivotButton="0" quotePrefix="0" xfId="0"/>
    <xf numFmtId="0" fontId="0" fillId="0" borderId="12" pivotButton="0" quotePrefix="0" xfId="0"/>
    <xf numFmtId="0" fontId="0" fillId="0" borderId="13" pivotButton="0" quotePrefix="0" xfId="0"/>
    <xf numFmtId="164" fontId="0" fillId="0" borderId="1" applyAlignment="1" pivotButton="0" quotePrefix="0" xfId="0">
      <alignment horizontal="left" vertical="top"/>
    </xf>
    <xf numFmtId="164" fontId="6" fillId="0" borderId="1" pivotButton="0" quotePrefix="0" xfId="0"/>
    <xf numFmtId="164" fontId="0" fillId="0" borderId="1" pivotButton="0" quotePrefix="0" xfId="0"/>
    <xf numFmtId="164" fontId="0" fillId="2" borderId="1" pivotButton="0" quotePrefix="0" xfId="0"/>
    <xf numFmtId="164" fontId="7" fillId="2" borderId="1" pivotButton="0" quotePrefix="0" xfId="0"/>
    <xf numFmtId="164" fontId="5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topLeftCell="B1" workbookViewId="0">
      <selection activeCell="L12" sqref="L12"/>
    </sheetView>
  </sheetViews>
  <sheetFormatPr baseColWidth="8" defaultColWidth="9" defaultRowHeight="16.8"/>
  <cols>
    <col width="23.75" customWidth="1" min="2" max="2"/>
    <col width="27.3303571428571" customWidth="1" min="5" max="5"/>
    <col width="23.4107142857143" customWidth="1" min="6" max="6"/>
    <col width="17.5803571428571" customWidth="1" min="7" max="7"/>
    <col width="10.1607142857143" customWidth="1" min="8" max="8"/>
    <col width="13.1607142857143" customWidth="1" min="9" max="9"/>
    <col width="11.2857142857143" customWidth="1" min="10" max="10"/>
    <col width="9.571428571428569" customWidth="1" min="12" max="12"/>
    <col width="9.5" customWidth="1" min="16" max="16"/>
    <col width="8.66071428571429" customWidth="1" min="18" max="19"/>
  </cols>
  <sheetData>
    <row r="1" ht="23.2" customHeight="1">
      <c r="A1" s="5" t="inlineStr">
        <is>
          <t>年份</t>
        </is>
      </c>
      <c r="B1" s="5" t="inlineStr">
        <is>
          <t>扣非净利润（亿）</t>
        </is>
      </c>
      <c r="C1" s="5" t="inlineStr">
        <is>
          <t>增速</t>
        </is>
      </c>
      <c r="D1" s="12" t="n"/>
      <c r="E1" s="9" t="inlineStr">
        <is>
          <t>成长估值法</t>
        </is>
      </c>
      <c r="F1" s="23" t="n"/>
      <c r="G1" s="23" t="n"/>
      <c r="H1" s="24" t="n"/>
      <c r="I1" s="12" t="n"/>
      <c r="J1" s="13" t="inlineStr">
        <is>
          <t>买卖点历史</t>
        </is>
      </c>
      <c r="K1" s="23" t="n"/>
      <c r="L1" s="23" t="n"/>
      <c r="M1" s="23" t="n"/>
      <c r="N1" s="23" t="n"/>
      <c r="O1" s="23" t="n"/>
      <c r="P1" s="23" t="n"/>
      <c r="Q1" s="23" t="n"/>
      <c r="R1" s="23" t="n"/>
      <c r="S1" s="24" t="n"/>
    </row>
    <row r="2">
      <c r="A2" s="15" t="n">
        <v>2024</v>
      </c>
      <c r="B2" s="15" t="n">
        <v>121.23</v>
      </c>
      <c r="C2" s="8">
        <f>(B2-B3)/B3</f>
        <v/>
      </c>
      <c r="E2" s="15" t="inlineStr">
        <is>
          <t>当年净利润</t>
        </is>
      </c>
      <c r="F2" s="15">
        <f>B3</f>
        <v/>
      </c>
      <c r="G2" s="15" t="n"/>
      <c r="H2" s="15" t="n"/>
      <c r="J2" s="14" t="inlineStr">
        <is>
          <t>日期</t>
        </is>
      </c>
      <c r="K2" s="14" t="inlineStr">
        <is>
          <t>股本（亿）</t>
        </is>
      </c>
      <c r="L2" s="15" t="inlineStr">
        <is>
          <t>买点(亿)</t>
        </is>
      </c>
      <c r="M2" s="15" t="inlineStr">
        <is>
          <t>价格</t>
        </is>
      </c>
      <c r="N2" s="15" t="inlineStr">
        <is>
          <t>卖点一(亿)/价格</t>
        </is>
      </c>
      <c r="O2" s="15" t="inlineStr">
        <is>
          <t>价格</t>
        </is>
      </c>
      <c r="P2" s="15" t="inlineStr">
        <is>
          <t>卖点二(亿)/价格</t>
        </is>
      </c>
      <c r="Q2" s="15" t="inlineStr">
        <is>
          <t>价格</t>
        </is>
      </c>
      <c r="R2" s="15" t="inlineStr">
        <is>
          <t>卖点三(亿)/价格</t>
        </is>
      </c>
      <c r="S2" s="15" t="inlineStr">
        <is>
          <t>价格</t>
        </is>
      </c>
    </row>
    <row r="3">
      <c r="A3" s="15" t="n">
        <v>2023</v>
      </c>
      <c r="B3" s="15" t="n">
        <v>120.79</v>
      </c>
      <c r="C3" s="8">
        <f>(B3-B4)/B4</f>
        <v/>
      </c>
      <c r="E3" s="15" t="inlineStr">
        <is>
          <t>预估增速</t>
        </is>
      </c>
      <c r="F3" s="10" t="n">
        <v>0.08</v>
      </c>
      <c r="G3" s="10" t="n"/>
      <c r="H3" s="10" t="n"/>
      <c r="J3" s="16" t="n">
        <v>45746</v>
      </c>
      <c r="K3" s="25" t="n">
        <v>112.5</v>
      </c>
      <c r="L3" s="26" t="n">
        <v>1800</v>
      </c>
      <c r="M3" s="26">
        <f>L3/K3</f>
        <v/>
      </c>
      <c r="N3" s="26" t="n">
        <v>5200</v>
      </c>
      <c r="O3" s="26">
        <f>N3/K3</f>
        <v/>
      </c>
      <c r="P3" s="26">
        <f>N3*1.1</f>
        <v/>
      </c>
      <c r="Q3" s="26">
        <f>P3/K3</f>
        <v/>
      </c>
      <c r="R3" s="26">
        <f>P3*1.1</f>
        <v/>
      </c>
      <c r="S3" s="27">
        <f>R3/K3</f>
        <v/>
      </c>
    </row>
    <row r="4">
      <c r="A4" s="15" t="n">
        <v>2022</v>
      </c>
      <c r="B4" s="15" t="n">
        <v>84.95</v>
      </c>
      <c r="C4" s="8">
        <f>(B4-B5)/B5</f>
        <v/>
      </c>
      <c r="E4" s="15" t="inlineStr">
        <is>
          <t>净利润折扣</t>
        </is>
      </c>
      <c r="F4" s="11" t="n">
        <v>1</v>
      </c>
      <c r="G4" s="11" t="n"/>
      <c r="H4" s="11" t="n"/>
      <c r="J4" s="14" t="n"/>
      <c r="K4" s="25" t="n"/>
      <c r="L4" s="25" t="n"/>
      <c r="M4" s="25" t="n"/>
      <c r="N4" s="27" t="n"/>
      <c r="O4" s="27" t="n"/>
      <c r="P4" s="27" t="n"/>
      <c r="Q4" s="27" t="n"/>
      <c r="R4" s="27" t="n"/>
      <c r="S4" s="27" t="n"/>
    </row>
    <row r="5">
      <c r="A5" s="15" t="n">
        <v>2021</v>
      </c>
      <c r="B5" s="15" t="n">
        <v>71.62</v>
      </c>
      <c r="C5" s="8">
        <f>(B5-B6)/B6</f>
        <v/>
      </c>
      <c r="E5" s="15" t="inlineStr">
        <is>
          <t>3年后净利润</t>
        </is>
      </c>
      <c r="F5" s="15">
        <f>F2*F4*(1+F3)*(1+F3)</f>
        <v/>
      </c>
      <c r="G5" s="15" t="n"/>
      <c r="H5" s="15" t="n"/>
      <c r="J5" s="14" t="n"/>
      <c r="K5" s="25" t="n"/>
      <c r="L5" s="25" t="n"/>
      <c r="M5" s="25" t="n"/>
      <c r="N5" s="28" t="n"/>
      <c r="O5" s="28" t="n"/>
      <c r="P5" s="29" t="n"/>
      <c r="Q5" s="29" t="n"/>
      <c r="R5" s="29" t="n"/>
      <c r="S5" s="28" t="n"/>
    </row>
    <row r="6">
      <c r="A6" s="15" t="n">
        <v>2020</v>
      </c>
      <c r="B6" s="15" t="n">
        <v>52.77</v>
      </c>
      <c r="C6" s="8" t="n"/>
      <c r="E6" s="15" t="inlineStr">
        <is>
          <t>合理pe(无风险收益率倒数)</t>
        </is>
      </c>
      <c r="F6" s="11" t="n">
        <v>27.5</v>
      </c>
      <c r="G6" s="11" t="n"/>
      <c r="H6" s="11" t="n"/>
      <c r="J6" s="14" t="n"/>
      <c r="K6" s="25" t="n"/>
      <c r="L6" s="25" t="n"/>
      <c r="M6" s="25" t="n"/>
      <c r="N6" s="27" t="n"/>
      <c r="O6" s="27" t="n"/>
      <c r="P6" s="30" t="n"/>
      <c r="Q6" s="30" t="n"/>
      <c r="R6" s="30" t="n"/>
      <c r="S6" s="27" t="n"/>
    </row>
    <row r="7">
      <c r="A7" s="15" t="n"/>
      <c r="B7" s="15" t="n"/>
      <c r="C7" s="8" t="n"/>
      <c r="E7" s="15" t="inlineStr">
        <is>
          <t>估计市值</t>
        </is>
      </c>
      <c r="F7" s="15">
        <f>F5*F6</f>
        <v/>
      </c>
      <c r="G7" s="15" t="n"/>
      <c r="H7" s="15" t="n"/>
      <c r="J7" s="14" t="n"/>
      <c r="K7" s="25" t="n"/>
      <c r="L7" s="25" t="n"/>
      <c r="M7" s="25" t="n"/>
      <c r="N7" s="27" t="n"/>
      <c r="O7" s="27" t="n"/>
      <c r="P7" s="27" t="n"/>
      <c r="Q7" s="27" t="n"/>
      <c r="R7" s="27" t="n"/>
      <c r="S7" s="27" t="n"/>
    </row>
    <row r="8">
      <c r="A8" s="15" t="n"/>
      <c r="B8" s="15" t="n"/>
      <c r="C8" s="8" t="n"/>
      <c r="E8" s="15" t="inlineStr">
        <is>
          <t>安全边际</t>
        </is>
      </c>
      <c r="F8" s="11" t="n">
        <v>0.5</v>
      </c>
      <c r="G8" s="11" t="n"/>
      <c r="H8" s="11" t="n"/>
      <c r="J8" s="14" t="n"/>
      <c r="K8" s="25" t="n"/>
      <c r="L8" s="25" t="n"/>
      <c r="M8" s="25" t="n"/>
      <c r="N8" s="27" t="n"/>
      <c r="O8" s="27" t="n"/>
      <c r="P8" s="27" t="n"/>
      <c r="Q8" s="27" t="n"/>
      <c r="R8" s="27" t="n"/>
      <c r="S8" s="27" t="n"/>
    </row>
    <row r="9">
      <c r="A9" s="15" t="n"/>
      <c r="B9" s="15" t="n"/>
      <c r="C9" s="8" t="n"/>
      <c r="E9" s="15" t="inlineStr">
        <is>
          <t>买点</t>
        </is>
      </c>
      <c r="F9" s="15">
        <f>F7*F8</f>
        <v/>
      </c>
      <c r="G9" s="15" t="n"/>
      <c r="H9" s="15" t="n"/>
      <c r="J9" s="14" t="n"/>
      <c r="K9" s="25" t="n"/>
      <c r="L9" s="25" t="n"/>
      <c r="M9" s="25" t="n"/>
      <c r="N9" s="27" t="n"/>
      <c r="O9" s="27" t="n"/>
      <c r="P9" s="27" t="n"/>
      <c r="Q9" s="27" t="n"/>
      <c r="R9" s="27" t="n"/>
      <c r="S9" s="27" t="n"/>
    </row>
    <row r="10">
      <c r="A10" s="15" t="n"/>
      <c r="B10" s="15" t="n"/>
      <c r="C10" s="8" t="n"/>
      <c r="E10" s="15" t="inlineStr">
        <is>
          <t>卖点(50PE)</t>
        </is>
      </c>
      <c r="F10" s="15">
        <f>F5*50</f>
        <v/>
      </c>
      <c r="G10" s="15" t="inlineStr">
        <is>
          <t>卖点(合理估值150%)</t>
        </is>
      </c>
      <c r="H10" s="15">
        <f>F7*1.5</f>
        <v/>
      </c>
      <c r="J10" s="14" t="n"/>
      <c r="K10" s="25" t="n"/>
      <c r="L10" s="25" t="n"/>
      <c r="M10" s="25" t="n"/>
      <c r="N10" s="27" t="n"/>
      <c r="O10" s="27" t="n"/>
      <c r="P10" s="27" t="n"/>
      <c r="Q10" s="27" t="n"/>
      <c r="R10" s="27" t="n"/>
      <c r="S10" s="27" t="n"/>
    </row>
    <row r="11">
      <c r="E11" s="15" t="n"/>
      <c r="F11" s="15" t="n"/>
      <c r="G11" s="15" t="n"/>
      <c r="H11" s="15" t="n"/>
      <c r="J11" s="14" t="n"/>
      <c r="K11" s="25" t="n"/>
      <c r="L11" s="25" t="n"/>
      <c r="M11" s="25" t="n"/>
      <c r="N11" s="27" t="n"/>
      <c r="O11" s="27" t="n"/>
      <c r="P11" s="27" t="n"/>
      <c r="Q11" s="27" t="n"/>
      <c r="R11" s="27" t="n"/>
      <c r="S11" s="27" t="n"/>
    </row>
    <row r="12">
      <c r="E12" s="15" t="n"/>
      <c r="F12" s="15" t="n"/>
      <c r="G12" s="15" t="n"/>
      <c r="H12" s="15" t="n"/>
      <c r="J12" s="14" t="n"/>
      <c r="K12" s="25" t="n"/>
      <c r="L12" s="25" t="n"/>
      <c r="M12" s="25" t="n"/>
      <c r="N12" s="27" t="n"/>
      <c r="O12" s="27" t="n"/>
      <c r="P12" s="27" t="n"/>
      <c r="Q12" s="27" t="n"/>
      <c r="R12" s="27" t="n"/>
      <c r="S12" s="27" t="n"/>
    </row>
    <row r="13">
      <c r="J13" s="14" t="n"/>
      <c r="K13" s="25" t="n"/>
      <c r="L13" s="25" t="n"/>
      <c r="M13" s="25" t="n"/>
      <c r="N13" s="27" t="n"/>
      <c r="O13" s="27" t="n"/>
      <c r="P13" s="27" t="n"/>
      <c r="Q13" s="27" t="n"/>
      <c r="R13" s="27" t="n"/>
      <c r="S13" s="27" t="n"/>
    </row>
    <row r="14">
      <c r="J14" s="14" t="n"/>
      <c r="K14" s="25" t="n"/>
      <c r="L14" s="25" t="n"/>
      <c r="M14" s="25" t="n"/>
      <c r="N14" s="27" t="n"/>
      <c r="O14" s="27" t="n"/>
      <c r="P14" s="27" t="n"/>
      <c r="Q14" s="27" t="n"/>
      <c r="R14" s="27" t="n"/>
      <c r="S14" s="27" t="n"/>
    </row>
  </sheetData>
  <mergeCells count="2">
    <mergeCell ref="J1:S1"/>
    <mergeCell ref="E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topLeftCell="B1" activePane="topRight" state="frozen"/>
      <selection activeCell="A1" sqref="A1"/>
      <selection pane="topRight" activeCell="I16" sqref="I16"/>
    </sheetView>
  </sheetViews>
  <sheetFormatPr baseColWidth="8" defaultColWidth="9" defaultRowHeight="16.8"/>
  <cols>
    <col width="13.9107142857143" customWidth="1" min="1" max="1"/>
    <col width="18.25" customWidth="1" min="2" max="2"/>
    <col width="13.25" customWidth="1" min="3" max="3"/>
    <col width="15.75" customWidth="1" min="4" max="5"/>
    <col width="35.75" customWidth="1" min="6" max="6"/>
  </cols>
  <sheetData>
    <row r="1" ht="23" customFormat="1" customHeight="1" s="1">
      <c r="A1" s="1" t="inlineStr">
        <is>
          <t>年份</t>
        </is>
      </c>
      <c r="B1" s="1" t="inlineStr">
        <is>
          <t>包装饮用水产品</t>
        </is>
      </c>
      <c r="C1" s="1" t="inlineStr">
        <is>
          <t>茶饮料产品</t>
        </is>
      </c>
      <c r="D1" s="1" t="inlineStr">
        <is>
          <t>功能饮料产品</t>
        </is>
      </c>
      <c r="E1" s="1" t="inlineStr">
        <is>
          <t>果汁饮料产品</t>
        </is>
      </c>
      <c r="F1" s="1" t="inlineStr">
        <is>
          <t>其他产品（含苏打水、咖啡等）</t>
        </is>
      </c>
      <c r="G1" s="1" t="inlineStr">
        <is>
          <t>总计</t>
        </is>
      </c>
    </row>
    <row r="2" ht="20.4" customHeight="1">
      <c r="A2" s="2" t="inlineStr">
        <is>
          <t>2024上半年</t>
        </is>
      </c>
      <c r="B2" s="3" t="n">
        <v>85.3</v>
      </c>
      <c r="C2" s="3" t="n">
        <v>84.3</v>
      </c>
      <c r="D2" s="3" t="n">
        <v>25.5</v>
      </c>
      <c r="E2" s="3" t="n">
        <v>21.14</v>
      </c>
      <c r="F2" s="3" t="n">
        <v>5.48</v>
      </c>
      <c r="G2" s="3" t="n">
        <v>221.72</v>
      </c>
    </row>
    <row r="3" ht="20.4" customHeight="1">
      <c r="A3" s="2" t="inlineStr">
        <is>
          <t>2024下半年</t>
        </is>
      </c>
      <c r="B3" s="3" t="n">
        <v>74.2</v>
      </c>
      <c r="C3" s="3" t="n">
        <v>83.15000000000001</v>
      </c>
      <c r="D3" s="3" t="n">
        <v>23.82</v>
      </c>
      <c r="E3" s="3" t="n">
        <v>19.71</v>
      </c>
      <c r="F3" s="3" t="n">
        <v>6.34</v>
      </c>
      <c r="G3" s="3" t="n">
        <v>207.22</v>
      </c>
    </row>
    <row r="4" ht="20.4" customHeight="1">
      <c r="A4" s="2" t="inlineStr">
        <is>
          <t>总计</t>
        </is>
      </c>
      <c r="B4" s="3" t="n">
        <v>159.52</v>
      </c>
      <c r="C4" s="3" t="n">
        <v>167.45</v>
      </c>
      <c r="D4" s="3" t="n">
        <v>49.32</v>
      </c>
      <c r="E4" s="3" t="n">
        <v>40.85</v>
      </c>
      <c r="F4" s="3" t="n">
        <v>11.82</v>
      </c>
      <c r="G4" s="3" t="n">
        <v>428.94</v>
      </c>
    </row>
    <row r="5" ht="20.4" customHeight="1">
      <c r="A5" s="1" t="n"/>
      <c r="B5" s="4" t="n"/>
      <c r="C5" s="4" t="n"/>
      <c r="D5" s="4" t="n"/>
      <c r="E5" s="4" t="n"/>
      <c r="F5" s="4" t="n"/>
      <c r="G5" s="4" t="n"/>
    </row>
    <row r="6" ht="20.4" customHeight="1">
      <c r="A6" s="2" t="inlineStr">
        <is>
          <t>2023上半年</t>
        </is>
      </c>
      <c r="B6" s="3" t="n">
        <v>104.42</v>
      </c>
      <c r="C6" s="3" t="n">
        <v>52.86</v>
      </c>
      <c r="D6" s="3" t="n">
        <v>24.57</v>
      </c>
      <c r="E6" s="3" t="n">
        <v>16.86</v>
      </c>
      <c r="F6" s="3" t="n">
        <v>5.91</v>
      </c>
      <c r="G6" s="3" t="n">
        <v>204.62</v>
      </c>
    </row>
    <row r="7" ht="20.4" customHeight="1">
      <c r="A7" s="2" t="inlineStr">
        <is>
          <t>2023下半年</t>
        </is>
      </c>
      <c r="B7" s="3">
        <f>B8-B6</f>
        <v/>
      </c>
      <c r="C7" s="3">
        <f>C8-C6</f>
        <v/>
      </c>
      <c r="D7" s="3">
        <f>D8-D6</f>
        <v/>
      </c>
      <c r="E7" s="3">
        <f>E8-E6</f>
        <v/>
      </c>
      <c r="F7" s="3">
        <f>F8-F6</f>
        <v/>
      </c>
      <c r="G7" s="3" t="n">
        <v>222.05</v>
      </c>
    </row>
    <row r="8" ht="20.4" customHeight="1">
      <c r="A8" s="2" t="inlineStr">
        <is>
          <t>总计</t>
        </is>
      </c>
      <c r="B8" s="3" t="n">
        <v>202.62</v>
      </c>
      <c r="C8" s="3" t="n">
        <v>126.59</v>
      </c>
      <c r="D8" s="3" t="n">
        <v>49.02</v>
      </c>
      <c r="E8" s="3" t="n">
        <v>35.33</v>
      </c>
      <c r="F8" s="3" t="n">
        <v>13.11</v>
      </c>
      <c r="G8" s="3" t="n">
        <v>426.67</v>
      </c>
    </row>
    <row r="9" ht="20.4" customHeight="1">
      <c r="A9" s="1" t="n"/>
      <c r="B9" s="4" t="n"/>
      <c r="C9" s="4" t="n"/>
      <c r="D9" s="4" t="n"/>
      <c r="E9" s="4" t="n"/>
      <c r="F9" s="4" t="n"/>
      <c r="G9" s="4" t="n"/>
    </row>
    <row r="10" ht="20.4" customHeight="1">
      <c r="A10" s="2" t="inlineStr">
        <is>
          <t>2022上半年</t>
        </is>
      </c>
      <c r="B10" s="3" t="n">
        <v>93.48999999999999</v>
      </c>
      <c r="C10" s="3" t="n">
        <v>33.07</v>
      </c>
      <c r="D10" s="3" t="n">
        <v>20.23</v>
      </c>
      <c r="E10" s="3" t="n">
        <v>12.75</v>
      </c>
      <c r="F10" s="3" t="n">
        <v>6.45</v>
      </c>
      <c r="G10" s="3" t="n">
        <v>165.99</v>
      </c>
    </row>
    <row r="11" ht="20.4" customHeight="1">
      <c r="A11" s="2" t="inlineStr">
        <is>
          <t>2022下半年</t>
        </is>
      </c>
      <c r="B11" s="3">
        <f>B12-B10</f>
        <v/>
      </c>
      <c r="C11" s="3">
        <f>C12-C10</f>
        <v/>
      </c>
      <c r="D11" s="3">
        <f>D12-D10</f>
        <v/>
      </c>
      <c r="E11" s="3">
        <f>E12-E10</f>
        <v/>
      </c>
      <c r="F11" s="3">
        <f>F12-F10</f>
        <v/>
      </c>
      <c r="G11" s="3" t="n">
        <v>166.4</v>
      </c>
    </row>
    <row r="12" ht="20.4" customHeight="1">
      <c r="A12" s="2" t="inlineStr">
        <is>
          <t>总计</t>
        </is>
      </c>
      <c r="B12" s="3" t="n">
        <v>182.63</v>
      </c>
      <c r="C12" s="3" t="n">
        <v>69.06</v>
      </c>
      <c r="D12" s="3" t="n">
        <v>38.38</v>
      </c>
      <c r="E12" s="3" t="n">
        <v>28.79</v>
      </c>
      <c r="F12" s="3" t="n">
        <v>13.53</v>
      </c>
      <c r="G12" s="3" t="n">
        <v>332.39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zyz</dc:creator>
  <dcterms:created xmlns:dcterms="http://purl.org/dc/terms/" xmlns:xsi="http://www.w3.org/2001/XMLSchema-instance" xsi:type="dcterms:W3CDTF">2015-06-06T02:19:00Z</dcterms:created>
  <dcterms:modified xmlns:dcterms="http://purl.org/dc/terms/" xmlns:xsi="http://www.w3.org/2001/XMLSchema-instance" xsi:type="dcterms:W3CDTF">2026-06-29T02:12:40Z</dcterms:modified>
  <cp:lastModifiedBy>叫我ZYZ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370C096D3B26E3F5D12A4D68105FE9BC_42</vt:lpwstr>
  </property>
  <property name="KSOProductBuildVer" fmtid="{D5CDD505-2E9C-101B-9397-08002B2CF9AE}" pid="3">
    <vt:lpwstr xmlns:vt="http://schemas.openxmlformats.org/officeDocument/2006/docPropsVTypes">2052-6.14.0.8924</vt:lpwstr>
  </property>
</Properties>
</file>