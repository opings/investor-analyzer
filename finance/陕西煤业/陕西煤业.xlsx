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6DF2D083-FE88-417F-8246-AF1AFC29C3D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5" i="1"/>
  <c r="F7" i="1" s="1"/>
  <c r="H5" i="1" l="1"/>
  <c r="H7" i="1" s="1"/>
</calcChain>
</file>

<file path=xl/sharedStrings.xml><?xml version="1.0" encoding="utf-8"?>
<sst xmlns="http://schemas.openxmlformats.org/spreadsheetml/2006/main" count="12" uniqueCount="12">
  <si>
    <t>年份</t>
  </si>
  <si>
    <t>扣非净利润（亿）</t>
  </si>
  <si>
    <t>席勒估值法</t>
  </si>
  <si>
    <t>2014~2023十年平均净利润</t>
  </si>
  <si>
    <t>估计市值</t>
  </si>
  <si>
    <t>净利润折扣</t>
    <phoneticPr fontId="1" type="noConversion"/>
  </si>
  <si>
    <t>买点</t>
    <phoneticPr fontId="1" type="noConversion"/>
  </si>
  <si>
    <t>合理pe下限(无风险收益率倒数)</t>
    <phoneticPr fontId="1" type="noConversion"/>
  </si>
  <si>
    <t>合理pe上限(无风险收益率倒数)</t>
    <phoneticPr fontId="1" type="noConversion"/>
  </si>
  <si>
    <t>安全边际下限</t>
    <phoneticPr fontId="1" type="noConversion"/>
  </si>
  <si>
    <t>安全边际上限</t>
    <phoneticPr fontId="1" type="noConversion"/>
  </si>
  <si>
    <t>卖点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</si>
</sst>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K12" sqref="K12"/>
    </sheetView>
  </sheetViews>
  <sheetFormatPr defaultRowHeight="14" x14ac:dyDescent="0.3"/>
  <cols>
    <col min="2" max="2" width="23.75" bestFit="1" customWidth="1"/>
    <col min="5" max="5" width="24.25" bestFit="1" customWidth="1"/>
    <col min="6" max="6" width="23.4140625" bestFit="1" customWidth="1"/>
    <col min="7" max="7" width="27.33203125" bestFit="1" customWidth="1"/>
    <col min="8" max="8" width="8.5" bestFit="1" customWidth="1"/>
    <col min="9" max="9" width="9.1640625" bestFit="1" customWidth="1"/>
    <col min="11" max="11" width="27.33203125" bestFit="1" customWidth="1"/>
    <col min="12" max="12" width="11.25" bestFit="1" customWidth="1"/>
    <col min="13" max="13" width="27.33203125" bestFit="1" customWidth="1"/>
  </cols>
  <sheetData>
    <row r="1" spans="1:9" s="1" customFormat="1" ht="20" x14ac:dyDescent="0.4">
      <c r="A1" s="1" t="s">
        <v>0</v>
      </c>
      <c r="B1" s="1" t="s">
        <v>1</v>
      </c>
      <c r="E1" s="3" t="s">
        <v>2</v>
      </c>
      <c r="F1" s="3"/>
      <c r="G1" s="3"/>
      <c r="H1" s="3"/>
      <c r="I1" s="3"/>
    </row>
    <row r="2" spans="1:9" x14ac:dyDescent="0.3">
      <c r="A2">
        <v>2023</v>
      </c>
      <c r="B2">
        <v>251</v>
      </c>
      <c r="E2" t="s">
        <v>3</v>
      </c>
      <c r="F2" s="4">
        <f>SUM(B2:B11)/10</f>
        <v>117.821</v>
      </c>
      <c r="G2" s="4"/>
      <c r="H2" s="4"/>
    </row>
    <row r="3" spans="1:9" x14ac:dyDescent="0.3">
      <c r="A3">
        <v>2022</v>
      </c>
      <c r="B3">
        <v>294.10000000000002</v>
      </c>
      <c r="E3" t="s">
        <v>7</v>
      </c>
      <c r="F3">
        <v>25</v>
      </c>
      <c r="G3" t="s">
        <v>8</v>
      </c>
      <c r="H3">
        <v>30</v>
      </c>
    </row>
    <row r="4" spans="1:9" x14ac:dyDescent="0.3">
      <c r="A4">
        <v>2021</v>
      </c>
      <c r="B4">
        <v>204.8</v>
      </c>
      <c r="E4" t="s">
        <v>5</v>
      </c>
      <c r="F4" s="4">
        <v>0.7</v>
      </c>
      <c r="G4" s="4"/>
      <c r="H4" s="4"/>
    </row>
    <row r="5" spans="1:9" x14ac:dyDescent="0.3">
      <c r="A5">
        <v>2020</v>
      </c>
      <c r="B5">
        <v>91.17</v>
      </c>
      <c r="E5" t="s">
        <v>4</v>
      </c>
      <c r="F5" s="2">
        <f>F2*F3*F4</f>
        <v>2061.8674999999998</v>
      </c>
      <c r="H5" s="2">
        <f>F2*H3*F4</f>
        <v>2474.241</v>
      </c>
    </row>
    <row r="6" spans="1:9" x14ac:dyDescent="0.3">
      <c r="A6">
        <v>2019</v>
      </c>
      <c r="B6">
        <v>111.53</v>
      </c>
      <c r="E6" t="s">
        <v>9</v>
      </c>
      <c r="F6">
        <v>0.7</v>
      </c>
      <c r="G6" t="s">
        <v>10</v>
      </c>
      <c r="H6">
        <v>1.5</v>
      </c>
    </row>
    <row r="7" spans="1:9" x14ac:dyDescent="0.3">
      <c r="A7">
        <v>2018</v>
      </c>
      <c r="B7">
        <v>110.75</v>
      </c>
      <c r="E7" t="s">
        <v>6</v>
      </c>
      <c r="F7">
        <f>F5*F6</f>
        <v>1443.3072499999998</v>
      </c>
      <c r="G7" t="s">
        <v>11</v>
      </c>
      <c r="H7">
        <f>H5*H6</f>
        <v>3711.3615</v>
      </c>
    </row>
    <row r="8" spans="1:9" x14ac:dyDescent="0.3">
      <c r="A8">
        <v>2017</v>
      </c>
      <c r="B8">
        <v>104.31</v>
      </c>
    </row>
    <row r="9" spans="1:9" x14ac:dyDescent="0.3">
      <c r="A9">
        <v>2016</v>
      </c>
      <c r="B9">
        <v>26.23</v>
      </c>
    </row>
    <row r="10" spans="1:9" x14ac:dyDescent="0.3">
      <c r="A10">
        <v>2015</v>
      </c>
      <c r="B10">
        <v>-25.56</v>
      </c>
    </row>
    <row r="11" spans="1:9" x14ac:dyDescent="0.3">
      <c r="A11">
        <v>2014</v>
      </c>
      <c r="B11">
        <v>9.8800000000000008</v>
      </c>
    </row>
  </sheetData>
  <sortState xmlns:xlrd2="http://schemas.microsoft.com/office/spreadsheetml/2017/richdata2" ref="A2:B11">
    <sortCondition descending="1" ref="A2:A11"/>
  </sortState>
  <mergeCells count="3">
    <mergeCell ref="E1:I1"/>
    <mergeCell ref="F2:H2"/>
    <mergeCell ref="F4:H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yz zhao</cp:lastModifiedBy>
  <dcterms:created xsi:type="dcterms:W3CDTF">2015-06-05T18:19:34Z</dcterms:created>
  <dcterms:modified xsi:type="dcterms:W3CDTF">2024-05-07T05:49:07Z</dcterms:modified>
</cp:coreProperties>
</file>