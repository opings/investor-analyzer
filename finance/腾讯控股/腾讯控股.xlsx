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860" tabRatio="600" firstSheet="0" activeTab="2" autoFilterDateGrouping="1"/>
  </bookViews>
  <sheets>
    <sheet xmlns:r="http://schemas.openxmlformats.org/officeDocument/2006/relationships" name="估值" sheetId="1" state="visible" r:id="rId1"/>
    <sheet xmlns:r="http://schemas.openxmlformats.org/officeDocument/2006/relationships" name="年" sheetId="2" state="visible" r:id="rId2"/>
    <sheet xmlns:r="http://schemas.openxmlformats.org/officeDocument/2006/relationships" name="季度" sheetId="3" state="visible" r:id="rId3"/>
    <sheet xmlns:r="http://schemas.openxmlformats.org/officeDocument/2006/relationships" name="利润估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_);[Red]\(0.00\)"/>
    <numFmt numFmtId="166" formatCode="yyyy\-mm\-dd\ h:mm:ss"/>
  </numFmts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6"/>
      <scheme val="minor"/>
    </font>
    <font>
      <name val="TimesLTStd-Bold"/>
      <charset val="134"/>
      <color rgb="FF231F20"/>
      <sz val="11.1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4" borderId="7" applyAlignment="1">
      <alignment vertical="center"/>
    </xf>
    <xf numFmtId="0" fontId="15" fillId="5" borderId="8" applyAlignment="1">
      <alignment vertical="center"/>
    </xf>
    <xf numFmtId="0" fontId="16" fillId="5" borderId="7" applyAlignment="1">
      <alignment vertical="center"/>
    </xf>
    <xf numFmtId="0" fontId="17" fillId="6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0" borderId="1" pivotButton="0" quotePrefix="0" xfId="0"/>
    <xf numFmtId="10" fontId="0" fillId="0" borderId="1" pivotButton="0" quotePrefix="0" xfId="0"/>
    <xf numFmtId="14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9" fontId="3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  <xf numFmtId="165" fontId="0" fillId="0" borderId="1" applyAlignment="1" pivotButton="0" quotePrefix="0" xfId="0">
      <alignment horizontal="left" vertical="top"/>
    </xf>
    <xf numFmtId="165" fontId="4" fillId="0" borderId="1" pivotButton="0" quotePrefix="0" xfId="0"/>
    <xf numFmtId="166" fontId="0" fillId="0" borderId="1" applyAlignment="1" pivotButton="0" quotePrefix="0" xfId="0">
      <alignment horizontal="left" vertical="top"/>
    </xf>
    <xf numFmtId="165" fontId="0" fillId="0" borderId="1" pivotButton="0" quotePrefix="0" xfId="0"/>
    <xf numFmtId="165" fontId="0" fillId="2" borderId="1" pivotButton="0" quotePrefix="0" xfId="0"/>
    <xf numFmtId="165" fontId="5" fillId="2" borderId="1" pivotButton="0" quotePrefix="0" xfId="0"/>
    <xf numFmtId="165" fontId="3" fillId="0" borderId="1" pivotButton="0" quotePrefix="0" xfId="0"/>
    <xf numFmtId="165" fontId="0" fillId="0" borderId="1" applyAlignment="1" pivotButton="0" quotePrefix="0" xfId="0">
      <alignment horizontal="left" vertical="top"/>
    </xf>
    <xf numFmtId="165" fontId="4" fillId="0" borderId="1" pivotButton="0" quotePrefix="0" xfId="0"/>
    <xf numFmtId="165" fontId="0" fillId="0" borderId="1" pivotButton="0" quotePrefix="0" xfId="0"/>
    <xf numFmtId="166" fontId="0" fillId="0" borderId="1" applyAlignment="1" pivotButton="0" quotePrefix="0" xfId="0">
      <alignment horizontal="left" vertical="top"/>
    </xf>
    <xf numFmtId="165" fontId="0" fillId="2" borderId="1" pivotButton="0" quotePrefix="0" xfId="0"/>
    <xf numFmtId="165" fontId="5" fillId="2" borderId="1" pivotButton="0" quotePrefix="0" xfId="0"/>
    <xf numFmtId="165" fontId="3" fillId="0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opLeftCell="B1" workbookViewId="0">
      <selection activeCell="F7" sqref="F7"/>
    </sheetView>
  </sheetViews>
  <sheetFormatPr baseColWidth="8" defaultColWidth="9" defaultRowHeight="16.8"/>
  <cols>
    <col width="9.5" customWidth="1" min="1" max="1"/>
    <col width="28.75" customWidth="1" min="2" max="2"/>
    <col width="8" customWidth="1" min="3" max="3"/>
    <col width="3" customWidth="1" min="4" max="4"/>
    <col width="23.4107142857143" customWidth="1" min="5" max="5"/>
    <col width="12.3303571428571" customWidth="1" min="6" max="6"/>
    <col width="17.5803571428571" customWidth="1" min="7" max="7"/>
    <col width="12.3303571428571" customWidth="1" min="8" max="8"/>
    <col width="2.75" customWidth="1" min="9" max="9"/>
    <col width="21.6428571428571" customWidth="1" style="6" min="10" max="10"/>
    <col width="9.66071428571429" customWidth="1" style="6" min="11" max="11"/>
    <col width="12.1607142857143" customWidth="1" style="6" min="12" max="13"/>
    <col width="14.1607142857143" customWidth="1" min="14" max="19"/>
  </cols>
  <sheetData>
    <row r="1" ht="70" customFormat="1" customHeight="1" s="5">
      <c r="A1" s="7" t="inlineStr">
        <is>
          <t>年份</t>
        </is>
      </c>
      <c r="B1" s="8" t="inlineStr">
        <is>
          <t>扣非净利润（人名币-亿）
非国际标准</t>
        </is>
      </c>
      <c r="C1" s="7" t="inlineStr">
        <is>
          <t>增速</t>
        </is>
      </c>
      <c r="D1" s="9" t="n"/>
      <c r="E1" s="13" t="inlineStr">
        <is>
          <t>成长估值法</t>
        </is>
      </c>
      <c r="F1" s="14" t="n"/>
      <c r="G1" s="14" t="n"/>
      <c r="H1" s="15" t="n"/>
      <c r="I1" s="9" t="n"/>
      <c r="J1" s="13" t="inlineStr">
        <is>
          <t>买卖点历史</t>
        </is>
      </c>
      <c r="K1" s="14" t="n"/>
      <c r="L1" s="14" t="n"/>
      <c r="M1" s="14" t="n"/>
      <c r="N1" s="14" t="n"/>
      <c r="O1" s="14" t="n"/>
      <c r="P1" s="14" t="n"/>
      <c r="Q1" s="14" t="n"/>
      <c r="R1" s="14" t="n"/>
      <c r="S1" s="15" t="n"/>
    </row>
    <row r="2">
      <c r="A2" s="10" t="n">
        <v>2025</v>
      </c>
      <c r="B2" t="n">
        <v>2596.26</v>
      </c>
      <c r="C2" s="11">
        <f>(B2-B3)/B3</f>
        <v/>
      </c>
      <c r="E2" s="10" t="inlineStr">
        <is>
          <t>当年净利(2026E)</t>
        </is>
      </c>
      <c r="F2">
        <f>B2*(1+F3)</f>
        <v/>
      </c>
      <c r="G2" s="10" t="n"/>
      <c r="H2" s="10" t="n"/>
      <c r="J2" s="18" t="inlineStr">
        <is>
          <t>日期</t>
        </is>
      </c>
      <c r="K2" s="18" t="inlineStr">
        <is>
          <t>股本（亿）</t>
        </is>
      </c>
      <c r="L2" s="10" t="inlineStr">
        <is>
          <t>买点(亿)</t>
        </is>
      </c>
      <c r="M2" s="10" t="inlineStr">
        <is>
          <t>价格</t>
        </is>
      </c>
      <c r="N2" s="10" t="inlineStr">
        <is>
          <t>卖点一(亿)/价格</t>
        </is>
      </c>
      <c r="O2" s="10" t="inlineStr">
        <is>
          <t>价格</t>
        </is>
      </c>
      <c r="P2" s="10" t="inlineStr">
        <is>
          <t>卖点二(亿)/价格</t>
        </is>
      </c>
      <c r="Q2" s="10" t="inlineStr">
        <is>
          <t>价格</t>
        </is>
      </c>
      <c r="R2" s="10" t="inlineStr">
        <is>
          <t>卖点三(亿)/价格</t>
        </is>
      </c>
      <c r="S2" s="10" t="inlineStr">
        <is>
          <t>价格</t>
        </is>
      </c>
    </row>
    <row r="3">
      <c r="A3" s="10" t="n">
        <v>2024</v>
      </c>
      <c r="B3" s="10" t="n">
        <v>2227.03</v>
      </c>
      <c r="C3" s="11">
        <f>(B3-B4)/B4</f>
        <v/>
      </c>
      <c r="E3" s="10" t="inlineStr">
        <is>
          <t>2026增速(持平·AI重投入)</t>
        </is>
      </c>
      <c r="F3" s="16" t="n">
        <v>0</v>
      </c>
      <c r="G3" s="16" t="n"/>
      <c r="H3" s="16" t="n"/>
      <c r="J3" s="19" t="n">
        <v>45735</v>
      </c>
      <c r="K3" s="27" t="n">
        <v>91.79000000000001</v>
      </c>
      <c r="L3" s="28" t="inlineStr">
        <is>
          <t>28000</t>
        </is>
      </c>
      <c r="M3" s="28">
        <f>L3/K3</f>
        <v/>
      </c>
      <c r="N3" s="28" t="n">
        <v>83000</v>
      </c>
      <c r="O3" s="28">
        <f>N3/K3</f>
        <v/>
      </c>
      <c r="P3" s="28">
        <f>N3*1.1</f>
        <v/>
      </c>
      <c r="Q3" s="28">
        <f>P3/K3</f>
        <v/>
      </c>
      <c r="R3" s="28">
        <f>P3*1.1</f>
        <v/>
      </c>
      <c r="S3" s="29">
        <f>R3/K3</f>
        <v/>
      </c>
    </row>
    <row r="4">
      <c r="A4" s="10" t="n">
        <v>2023</v>
      </c>
      <c r="B4" s="10" t="n">
        <v>1576.88</v>
      </c>
      <c r="C4" s="11">
        <f>(B4-B5)/B5</f>
        <v/>
      </c>
      <c r="E4" s="10" t="inlineStr">
        <is>
          <t>前瞻增速(2027-29·保守)</t>
        </is>
      </c>
      <c r="F4" s="17" t="n">
        <v>0.08</v>
      </c>
      <c r="G4" s="17" t="n"/>
      <c r="H4" s="17" t="n"/>
      <c r="J4" s="19" t="n">
        <v>45746</v>
      </c>
      <c r="K4" s="27" t="n">
        <v>91.79000000000001</v>
      </c>
      <c r="L4" s="27" t="n">
        <v>37000</v>
      </c>
      <c r="M4" s="28">
        <f>L4/K4</f>
        <v/>
      </c>
      <c r="N4" s="29" t="n">
        <v>110000</v>
      </c>
      <c r="O4" s="28">
        <f>N4/K4</f>
        <v/>
      </c>
      <c r="P4" s="28">
        <f>N4*1.1</f>
        <v/>
      </c>
      <c r="Q4" s="28">
        <f>P4/K4</f>
        <v/>
      </c>
      <c r="R4" s="28">
        <f>P4*1.1</f>
        <v/>
      </c>
      <c r="S4" s="29">
        <f>R4/K4</f>
        <v/>
      </c>
    </row>
    <row r="5">
      <c r="A5" s="10" t="n">
        <v>2022</v>
      </c>
      <c r="B5" s="10" t="n">
        <v>1156.49</v>
      </c>
      <c r="C5" s="11">
        <f>(B5-B6)/B6</f>
        <v/>
      </c>
      <c r="E5" s="10" t="inlineStr">
        <is>
          <t>净利润折扣</t>
        </is>
      </c>
      <c r="F5" s="10" t="n">
        <v>1</v>
      </c>
      <c r="G5" s="10" t="n"/>
      <c r="H5" s="10" t="n"/>
      <c r="J5" s="30" t="n">
        <v>46191</v>
      </c>
      <c r="K5" s="27" t="n">
        <v>91.2</v>
      </c>
      <c r="L5" s="27" t="n">
        <v>44970</v>
      </c>
      <c r="M5" s="27">
        <f>L5/K5</f>
        <v/>
      </c>
      <c r="N5" s="31" t="n">
        <v>129813</v>
      </c>
      <c r="O5" s="31">
        <f>N5/K5</f>
        <v/>
      </c>
      <c r="P5" s="32" t="n">
        <v>142794</v>
      </c>
      <c r="Q5" s="32">
        <f>P5/K5</f>
        <v/>
      </c>
      <c r="R5" s="32" t="n">
        <v>155776</v>
      </c>
      <c r="S5" s="31">
        <f>R5/K5</f>
        <v/>
      </c>
    </row>
    <row r="6">
      <c r="A6" s="10" t="n">
        <v>2021</v>
      </c>
      <c r="B6" s="10" t="n">
        <v>1237.88</v>
      </c>
      <c r="C6" s="11">
        <f>(B6-B7)/B7</f>
        <v/>
      </c>
      <c r="E6" s="10" t="inlineStr">
        <is>
          <t>3年后净利(2029)</t>
        </is>
      </c>
      <c r="F6" s="17">
        <f>F2*F5*(1+F4)^3</f>
        <v/>
      </c>
      <c r="G6" s="17" t="n"/>
      <c r="H6" s="17" t="n"/>
      <c r="J6" s="18" t="n"/>
      <c r="K6" s="27" t="n"/>
      <c r="L6" s="27" t="n"/>
      <c r="M6" s="27" t="n"/>
      <c r="N6" s="29" t="n"/>
      <c r="O6" s="29" t="n"/>
      <c r="P6" s="33" t="n"/>
      <c r="Q6" s="33" t="n"/>
      <c r="R6" s="33" t="n"/>
      <c r="S6" s="29" t="n"/>
    </row>
    <row r="7">
      <c r="A7" s="10" t="n">
        <v>2020</v>
      </c>
      <c r="B7" s="10" t="n">
        <v>1227.42</v>
      </c>
      <c r="C7" s="11">
        <f>(B7-B8)/B8</f>
        <v/>
      </c>
      <c r="E7" s="10" t="inlineStr">
        <is>
          <t>合理PE(无风险倒数)</t>
        </is>
      </c>
      <c r="F7" s="10" t="n">
        <v>27.5</v>
      </c>
      <c r="G7" s="10" t="n"/>
      <c r="H7" s="10" t="n"/>
      <c r="J7" s="18" t="n"/>
      <c r="K7" s="27" t="n"/>
      <c r="L7" s="27" t="n"/>
      <c r="M7" s="27" t="n"/>
      <c r="N7" s="29" t="n"/>
      <c r="O7" s="29" t="n"/>
      <c r="P7" s="29" t="n"/>
      <c r="Q7" s="29" t="n"/>
      <c r="R7" s="29" t="n"/>
      <c r="S7" s="29" t="n"/>
    </row>
    <row r="8">
      <c r="A8" s="10" t="n">
        <v>2019</v>
      </c>
      <c r="B8" s="10" t="n">
        <v>943.51</v>
      </c>
      <c r="C8" s="11">
        <f>(B8-B9)/B9</f>
        <v/>
      </c>
      <c r="E8" s="10" t="inlineStr">
        <is>
          <t>三年后合理市值</t>
        </is>
      </c>
      <c r="F8" s="17">
        <f>F6*F7</f>
        <v/>
      </c>
      <c r="G8" s="17" t="n"/>
      <c r="H8" s="17" t="n"/>
      <c r="J8" s="18" t="n"/>
      <c r="K8" s="27" t="n"/>
      <c r="L8" s="27" t="n"/>
      <c r="M8" s="27" t="n"/>
      <c r="N8" s="29" t="n"/>
      <c r="O8" s="29" t="n"/>
      <c r="P8" s="29" t="n"/>
      <c r="Q8" s="29" t="n"/>
      <c r="R8" s="29" t="n"/>
      <c r="S8" s="29" t="n"/>
    </row>
    <row r="9">
      <c r="A9" s="10" t="n">
        <v>2018</v>
      </c>
      <c r="B9" s="10" t="n">
        <v>774.6900000000001</v>
      </c>
      <c r="C9" s="11">
        <f>(B9-B10)/B10</f>
        <v/>
      </c>
      <c r="E9" s="10" t="inlineStr">
        <is>
          <t>安全边际</t>
        </is>
      </c>
      <c r="F9" s="10" t="n">
        <v>0.5</v>
      </c>
      <c r="G9" s="10" t="n"/>
      <c r="H9" s="10" t="n"/>
      <c r="J9" s="18" t="n"/>
      <c r="K9" s="27" t="n"/>
      <c r="L9" s="27" t="n"/>
      <c r="M9" s="27" t="n"/>
      <c r="N9" s="29" t="n"/>
      <c r="O9" s="29" t="n"/>
      <c r="P9" s="29" t="n"/>
      <c r="Q9" s="29" t="n"/>
      <c r="R9" s="29" t="n"/>
      <c r="S9" s="29" t="n"/>
    </row>
    <row r="10">
      <c r="A10" s="10" t="n">
        <v>2017</v>
      </c>
      <c r="B10" s="10" t="n">
        <v>651.26</v>
      </c>
      <c r="C10" s="11">
        <f>(B10-B11)/B11</f>
        <v/>
      </c>
      <c r="E10" s="10" t="inlineStr">
        <is>
          <t>买点</t>
        </is>
      </c>
      <c r="F10" s="10">
        <f>F8*F9</f>
        <v/>
      </c>
      <c r="G10" s="10" t="n"/>
      <c r="H10" s="10" t="n"/>
      <c r="J10" s="18" t="n"/>
      <c r="K10" s="27" t="n"/>
      <c r="L10" s="27" t="n"/>
      <c r="M10" s="27" t="n"/>
      <c r="N10" s="29" t="n"/>
      <c r="O10" s="29" t="n"/>
      <c r="P10" s="29" t="n"/>
      <c r="Q10" s="29" t="n"/>
      <c r="R10" s="29" t="n"/>
      <c r="S10" s="29" t="n"/>
    </row>
    <row r="11">
      <c r="A11" s="10" t="n">
        <v>2016</v>
      </c>
      <c r="B11" s="10" t="n">
        <v>454.2</v>
      </c>
      <c r="C11" s="11">
        <f>(B11-B12)/B12</f>
        <v/>
      </c>
      <c r="E11" s="10" t="inlineStr">
        <is>
          <t>卖点一(当年×50PE)</t>
        </is>
      </c>
      <c r="F11" s="10">
        <f>F2*50</f>
        <v/>
      </c>
      <c r="G11" s="10" t="n"/>
      <c r="H11" s="10" t="n"/>
      <c r="J11" s="18" t="n"/>
      <c r="K11" s="27" t="n"/>
      <c r="L11" s="27" t="n"/>
      <c r="M11" s="27" t="n"/>
      <c r="N11" s="29" t="n"/>
      <c r="O11" s="29" t="n"/>
      <c r="P11" s="29" t="n"/>
      <c r="Q11" s="29" t="n"/>
      <c r="R11" s="29" t="n"/>
      <c r="S11" s="29" t="n"/>
    </row>
    <row r="12">
      <c r="A12" s="10" t="n">
        <v>2015</v>
      </c>
      <c r="B12" s="10" t="n">
        <v>324.1</v>
      </c>
      <c r="C12" s="10">
        <f>(B12-B13)/B13</f>
        <v/>
      </c>
      <c r="E12" s="10" t="inlineStr">
        <is>
          <t>卖点二(当年×55PE)</t>
        </is>
      </c>
      <c r="F12" s="10">
        <f>F2*55</f>
        <v/>
      </c>
      <c r="G12" s="10" t="n"/>
      <c r="H12" s="10" t="n"/>
      <c r="J12" s="18" t="n"/>
      <c r="K12" s="27" t="n"/>
      <c r="L12" s="27" t="n"/>
      <c r="M12" s="27" t="n"/>
      <c r="N12" s="29" t="n"/>
      <c r="O12" s="29" t="n"/>
      <c r="P12" s="29" t="n"/>
      <c r="Q12" s="29" t="n"/>
      <c r="R12" s="29" t="n"/>
      <c r="S12" s="29" t="n"/>
    </row>
    <row r="13">
      <c r="A13" s="10" t="n">
        <v>2014</v>
      </c>
      <c r="B13" s="10" t="n">
        <v>218.91</v>
      </c>
      <c r="C13" s="10" t="n"/>
      <c r="E13" t="inlineStr">
        <is>
          <t>卖点三(当年×60PE)</t>
        </is>
      </c>
      <c r="F13">
        <f>F2*60</f>
        <v/>
      </c>
      <c r="J13" s="18" t="n"/>
      <c r="K13" s="27" t="n"/>
      <c r="L13" s="27" t="n"/>
      <c r="M13" s="27" t="n"/>
      <c r="N13" s="29" t="n"/>
      <c r="O13" s="29" t="n"/>
      <c r="P13" s="29" t="n"/>
      <c r="Q13" s="29" t="n"/>
      <c r="R13" s="29" t="n"/>
      <c r="S13" s="29" t="n"/>
    </row>
    <row r="14">
      <c r="A14" s="10" t="n"/>
      <c r="B14" s="10" t="n"/>
      <c r="C14" s="10" t="n"/>
      <c r="J14" s="18" t="n"/>
      <c r="K14" s="27" t="n"/>
      <c r="L14" s="27" t="n"/>
      <c r="M14" s="27" t="n"/>
      <c r="N14" s="29" t="n"/>
      <c r="O14" s="29" t="n"/>
      <c r="P14" s="29" t="n"/>
      <c r="Q14" s="29" t="n"/>
      <c r="R14" s="29" t="n"/>
      <c r="S14" s="29" t="n"/>
    </row>
    <row r="15">
      <c r="A15" s="10" t="n"/>
      <c r="B15" s="10" t="n"/>
      <c r="C15" s="10" t="n"/>
    </row>
    <row r="16">
      <c r="A16" s="10" t="n"/>
      <c r="B16" s="10" t="n"/>
      <c r="C16" s="10" t="n"/>
    </row>
    <row r="17">
      <c r="A17" s="10" t="n"/>
      <c r="B17" s="10" t="n"/>
      <c r="C17" s="10" t="n"/>
    </row>
    <row r="18">
      <c r="A18" s="10" t="n"/>
      <c r="B18" s="10" t="n"/>
      <c r="C18" s="10" t="n"/>
    </row>
    <row r="19">
      <c r="A19" s="10" t="n"/>
      <c r="B19" s="10" t="n"/>
      <c r="C19" s="10" t="n"/>
    </row>
    <row r="20">
      <c r="A20" s="12" t="n"/>
      <c r="B20" s="10" t="n"/>
      <c r="C20" s="10" t="n"/>
    </row>
    <row r="21">
      <c r="A21" s="10" t="n"/>
      <c r="B21" s="10" t="n"/>
      <c r="C21" s="10" t="n"/>
    </row>
    <row r="22">
      <c r="A22" s="10" t="n"/>
      <c r="B22" s="10" t="n"/>
      <c r="C22" s="10" t="n"/>
    </row>
  </sheetData>
  <mergeCells count="2">
    <mergeCell ref="J1:S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activeCell="A1" sqref="A1"/>
      <selection pane="bottomLeft" activeCell="E27" sqref="E27"/>
    </sheetView>
  </sheetViews>
  <sheetFormatPr baseColWidth="8" defaultColWidth="9" defaultRowHeight="16.8" outlineLevelRow="4"/>
  <cols>
    <col width="8.5" customWidth="1" min="2" max="3"/>
    <col width="18.25" customWidth="1" min="4" max="4"/>
  </cols>
  <sheetData>
    <row r="1" ht="22.5" customFormat="1" customHeight="1" s="1">
      <c r="A1" s="1" t="inlineStr">
        <is>
          <t>年份</t>
        </is>
      </c>
      <c r="B1" s="1" t="inlineStr">
        <is>
          <t>收入（人名币-亿）</t>
        </is>
      </c>
    </row>
    <row r="2">
      <c r="B2" t="inlineStr">
        <is>
          <t>增值服务</t>
        </is>
      </c>
      <c r="C2" t="inlineStr">
        <is>
          <t>网络广告</t>
        </is>
      </c>
      <c r="D2" t="inlineStr">
        <is>
          <t>金融科技及企业服务</t>
        </is>
      </c>
      <c r="E2" t="inlineStr">
        <is>
          <t>其他</t>
        </is>
      </c>
    </row>
    <row r="3">
      <c r="A3" t="n">
        <v>2025</v>
      </c>
      <c r="B3" t="n">
        <v>3692.81</v>
      </c>
      <c r="C3" t="n">
        <v>1449.73</v>
      </c>
      <c r="D3" t="n">
        <v>2294.35</v>
      </c>
      <c r="E3" t="n">
        <v>80.77</v>
      </c>
    </row>
    <row r="4">
      <c r="A4" t="n">
        <v>2024</v>
      </c>
      <c r="B4" t="n">
        <v>3191.68</v>
      </c>
      <c r="C4" t="n">
        <v>1213.74</v>
      </c>
      <c r="D4" t="n">
        <v>2119.56</v>
      </c>
      <c r="E4" t="n">
        <v>77.59</v>
      </c>
    </row>
    <row r="5">
      <c r="A5" t="n">
        <v>2023</v>
      </c>
      <c r="B5" t="n">
        <v>2983.75</v>
      </c>
      <c r="C5" t="n">
        <v>1104.82</v>
      </c>
      <c r="D5" t="n">
        <v>2037.63</v>
      </c>
      <c r="E5" t="n">
        <v>53.95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L5" sqref="L5"/>
    </sheetView>
  </sheetViews>
  <sheetFormatPr baseColWidth="8" defaultColWidth="9.142857142857141" defaultRowHeight="16.8"/>
  <cols>
    <col width="9.571428571428569" customWidth="1" min="3" max="4"/>
    <col width="20.7142857142857" customWidth="1" min="5" max="5"/>
    <col width="10.6428571428571" customWidth="1" min="9" max="9"/>
    <col width="9.571428571428569" customWidth="1" min="10" max="10"/>
    <col width="7.57142857142857" customWidth="1" min="12" max="12"/>
    <col width="20.7142857142857" customWidth="1" min="13" max="13"/>
    <col width="9.571428571428569" customWidth="1" min="14" max="14"/>
    <col width="7.57142857142857" customWidth="1" min="16" max="16"/>
  </cols>
  <sheetData>
    <row r="1" ht="23.2" customHeight="1">
      <c r="A1" s="1" t="inlineStr">
        <is>
          <t>年份</t>
        </is>
      </c>
      <c r="B1" s="1" t="inlineStr">
        <is>
          <t>季度</t>
        </is>
      </c>
      <c r="C1" s="1" t="inlineStr">
        <is>
          <t>收入（人名币-亿）</t>
        </is>
      </c>
      <c r="I1" s="1" t="inlineStr">
        <is>
          <t>毛利（人名币-亿）</t>
        </is>
      </c>
    </row>
    <row r="2">
      <c r="C2" t="inlineStr">
        <is>
          <t>增值服务</t>
        </is>
      </c>
      <c r="D2" t="inlineStr">
        <is>
          <t>网络广告</t>
        </is>
      </c>
      <c r="E2" t="inlineStr">
        <is>
          <t>金融科技及企业服务</t>
        </is>
      </c>
      <c r="F2" t="inlineStr">
        <is>
          <t>其他</t>
        </is>
      </c>
      <c r="G2" t="inlineStr">
        <is>
          <t>总计</t>
        </is>
      </c>
      <c r="I2" t="inlineStr">
        <is>
          <t>增值服务</t>
        </is>
      </c>
      <c r="J2" t="inlineStr">
        <is>
          <t>毛利率</t>
        </is>
      </c>
      <c r="K2" t="inlineStr">
        <is>
          <t>网络广告</t>
        </is>
      </c>
      <c r="L2" t="inlineStr">
        <is>
          <t>毛利率</t>
        </is>
      </c>
      <c r="M2" t="inlineStr">
        <is>
          <t>金融科技及企业服务</t>
        </is>
      </c>
      <c r="N2" t="inlineStr">
        <is>
          <t>毛利率</t>
        </is>
      </c>
      <c r="O2" t="inlineStr">
        <is>
          <t>其他</t>
        </is>
      </c>
      <c r="P2" t="inlineStr">
        <is>
          <t>毛利率</t>
        </is>
      </c>
      <c r="Q2" t="inlineStr">
        <is>
          <t>总计</t>
        </is>
      </c>
      <c r="R2" t="inlineStr">
        <is>
          <t>毛利率</t>
        </is>
      </c>
    </row>
    <row r="3">
      <c r="A3" t="n">
        <v>2026</v>
      </c>
      <c r="B3" t="inlineStr">
        <is>
          <t>Q1</t>
        </is>
      </c>
      <c r="C3" t="n">
        <v>961.1</v>
      </c>
      <c r="D3" t="n">
        <v>381.71</v>
      </c>
      <c r="E3" t="n">
        <v>598.85</v>
      </c>
      <c r="F3" t="n">
        <v>22.92</v>
      </c>
      <c r="G3">
        <f>SUM(C3:F3)</f>
        <v/>
      </c>
      <c r="I3" s="34" t="n"/>
      <c r="J3" s="3" t="n"/>
      <c r="K3" s="35" t="n"/>
      <c r="L3" s="3" t="n"/>
      <c r="M3" s="35" t="n"/>
      <c r="N3" s="3" t="n"/>
      <c r="O3" s="35" t="n"/>
      <c r="P3" s="3" t="n"/>
      <c r="Q3" t="n">
        <v>1112.65</v>
      </c>
      <c r="R3" s="3" t="n">
        <v>0.57</v>
      </c>
    </row>
    <row r="4">
      <c r="A4" t="n">
        <v>2026</v>
      </c>
      <c r="B4" t="inlineStr">
        <is>
          <t>Q2</t>
        </is>
      </c>
      <c r="I4" s="34" t="n"/>
      <c r="J4" s="3" t="n"/>
      <c r="K4" s="34" t="n"/>
      <c r="L4" s="3" t="n"/>
      <c r="M4" s="34" t="n"/>
      <c r="N4" s="3" t="n"/>
      <c r="O4" s="34" t="n"/>
      <c r="P4" s="3" t="n"/>
      <c r="R4" s="3" t="n"/>
    </row>
    <row r="5">
      <c r="A5" t="n">
        <v>2026</v>
      </c>
      <c r="B5" t="inlineStr">
        <is>
          <t>Q3</t>
        </is>
      </c>
      <c r="I5" s="34" t="n"/>
      <c r="J5" s="3" t="n"/>
      <c r="K5" s="34" t="n"/>
      <c r="L5" s="3" t="n"/>
      <c r="M5" s="34" t="n"/>
      <c r="N5" s="3" t="n"/>
      <c r="O5" s="34" t="n"/>
      <c r="P5" s="3" t="n"/>
      <c r="R5" s="3" t="n"/>
    </row>
    <row r="6">
      <c r="A6" t="n">
        <v>2026</v>
      </c>
      <c r="B6" t="inlineStr">
        <is>
          <t>Q4</t>
        </is>
      </c>
      <c r="I6" s="34" t="n"/>
      <c r="J6" s="3" t="n"/>
      <c r="K6" s="34" t="n"/>
      <c r="L6" s="3" t="n"/>
      <c r="M6" s="34" t="n"/>
      <c r="N6" s="3" t="n"/>
      <c r="O6" s="34" t="n"/>
      <c r="P6" s="3" t="n"/>
      <c r="R6" s="3" t="n"/>
    </row>
    <row r="7">
      <c r="I7" s="34" t="n"/>
      <c r="J7" s="3" t="n"/>
      <c r="K7" s="34" t="n"/>
      <c r="L7" s="3" t="n"/>
      <c r="M7" s="34" t="n"/>
      <c r="N7" s="3" t="n"/>
      <c r="O7" s="34" t="n"/>
      <c r="P7" s="3" t="n"/>
      <c r="R7" s="3" t="n"/>
    </row>
    <row r="8">
      <c r="A8" t="n">
        <v>2025</v>
      </c>
      <c r="B8" t="inlineStr">
        <is>
          <t>Q1</t>
        </is>
      </c>
      <c r="C8" t="n">
        <v>921.33</v>
      </c>
      <c r="D8" t="n">
        <v>318.53</v>
      </c>
      <c r="E8" t="n">
        <v>549.0700000000001</v>
      </c>
      <c r="F8" t="n">
        <v>11.29</v>
      </c>
      <c r="G8">
        <f>SUM(C8:F8)</f>
        <v/>
      </c>
      <c r="I8" s="34" t="n">
        <v>549.11</v>
      </c>
      <c r="J8" s="3" t="n">
        <v>0.6</v>
      </c>
      <c r="K8" s="34" t="n">
        <v>176.94</v>
      </c>
      <c r="L8" s="3" t="n">
        <v>0.5600000000000001</v>
      </c>
      <c r="M8" s="34" t="n">
        <v>275.97</v>
      </c>
      <c r="N8" s="3" t="n">
        <v>0.5</v>
      </c>
      <c r="O8" s="34" t="n">
        <v>2.91</v>
      </c>
      <c r="P8" s="3" t="n">
        <v>0.26</v>
      </c>
      <c r="Q8">
        <f>I8+K8+M8+O8</f>
        <v/>
      </c>
      <c r="R8" s="3" t="n">
        <v>0.5600000000000001</v>
      </c>
    </row>
    <row r="9">
      <c r="A9" t="n">
        <v>2025</v>
      </c>
      <c r="B9" t="inlineStr">
        <is>
          <t>Q2</t>
        </is>
      </c>
      <c r="C9" t="n">
        <v>913.6799999999999</v>
      </c>
      <c r="D9" t="n">
        <v>357.62</v>
      </c>
      <c r="E9" t="n">
        <v>555.36</v>
      </c>
      <c r="F9" t="n">
        <v>18.38</v>
      </c>
      <c r="G9">
        <f>SUM(C9:F9)</f>
        <v/>
      </c>
      <c r="I9" s="34" t="n">
        <v>552.23</v>
      </c>
      <c r="J9" s="3" t="n">
        <v>0.6</v>
      </c>
      <c r="K9" s="34" t="n">
        <v>205.85</v>
      </c>
      <c r="L9" s="3" t="n">
        <v>0.58</v>
      </c>
      <c r="M9" s="34" t="n">
        <v>289.52</v>
      </c>
      <c r="N9" s="3" t="n">
        <v>0.52</v>
      </c>
      <c r="O9" s="34" t="n">
        <v>2.53</v>
      </c>
      <c r="P9" s="3" t="n">
        <v>0.14</v>
      </c>
      <c r="Q9">
        <f>I9+K9+M9+O9</f>
        <v/>
      </c>
      <c r="R9" s="3" t="n">
        <v>0.57</v>
      </c>
    </row>
    <row r="10">
      <c r="A10" t="n">
        <v>2025</v>
      </c>
      <c r="B10" t="inlineStr">
        <is>
          <t>Q3</t>
        </is>
      </c>
      <c r="I10" s="34" t="n"/>
      <c r="J10" s="3" t="n"/>
      <c r="K10" s="34" t="n"/>
      <c r="L10" s="3" t="n"/>
      <c r="M10" s="34" t="n"/>
      <c r="N10" s="3" t="n"/>
      <c r="O10" s="34" t="n"/>
      <c r="P10" s="3" t="n"/>
      <c r="R10" s="3" t="n"/>
    </row>
    <row r="11">
      <c r="A11" t="n">
        <v>2025</v>
      </c>
      <c r="B11" t="inlineStr">
        <is>
          <t>Q4</t>
        </is>
      </c>
      <c r="C11" t="n">
        <v>899.2</v>
      </c>
      <c r="D11" t="n">
        <v>411.16</v>
      </c>
      <c r="E11" t="n">
        <v>608.1799999999999</v>
      </c>
      <c r="F11" t="n">
        <v>25.17</v>
      </c>
      <c r="G11">
        <f>SUM(C11:F11)</f>
        <v/>
      </c>
      <c r="I11" s="34" t="n">
        <v>535.39</v>
      </c>
      <c r="J11" s="3" t="n">
        <v>0.6</v>
      </c>
      <c r="K11" s="34" t="n">
        <v>245.59</v>
      </c>
      <c r="L11" s="3" t="n">
        <v>0.6</v>
      </c>
      <c r="M11" s="34" t="n">
        <v>308.57</v>
      </c>
      <c r="N11" s="3" t="n">
        <v>0.51</v>
      </c>
      <c r="O11" s="34" t="n">
        <v>-6.66</v>
      </c>
      <c r="P11" s="3" t="n">
        <v>-0.26</v>
      </c>
      <c r="Q11">
        <f>I11+K11+M11+O11</f>
        <v/>
      </c>
      <c r="R11" s="3" t="n">
        <v>0.5600000000000001</v>
      </c>
    </row>
    <row r="12">
      <c r="I12" s="34" t="n"/>
      <c r="J12" s="3" t="n"/>
      <c r="K12" s="34" t="n"/>
      <c r="L12" s="3" t="n"/>
      <c r="M12" s="34" t="n"/>
      <c r="N12" s="3" t="n"/>
      <c r="O12" s="34" t="n"/>
      <c r="P12" s="3" t="n"/>
      <c r="R12" s="3" t="n"/>
    </row>
    <row r="13">
      <c r="A13" t="n">
        <v>2024</v>
      </c>
      <c r="B13" t="inlineStr">
        <is>
          <t>Q1</t>
        </is>
      </c>
      <c r="C13" t="n">
        <v>786.29</v>
      </c>
      <c r="D13" t="n">
        <v>265.06</v>
      </c>
      <c r="E13" t="n">
        <v>523.02</v>
      </c>
      <c r="F13" t="n">
        <v>20.64</v>
      </c>
      <c r="G13">
        <f>SUM(C13:F13)</f>
        <v/>
      </c>
      <c r="I13" s="34" t="n">
        <v>450.22</v>
      </c>
      <c r="J13" s="3" t="n">
        <v>0.57</v>
      </c>
      <c r="K13" s="34" t="n">
        <v>145.2</v>
      </c>
      <c r="L13" s="3" t="n">
        <v>0.55</v>
      </c>
      <c r="M13" s="34" t="n">
        <v>238.51</v>
      </c>
      <c r="N13" s="3" t="n">
        <v>0.46</v>
      </c>
      <c r="O13" s="34" t="n">
        <v>4.77</v>
      </c>
      <c r="P13" s="3" t="n">
        <v>0.23</v>
      </c>
      <c r="Q13">
        <f>I13+K13+M13+O13</f>
        <v/>
      </c>
      <c r="R13" s="3" t="n">
        <v>0.53</v>
      </c>
    </row>
    <row r="14">
      <c r="A14" t="n">
        <v>2024</v>
      </c>
      <c r="B14" t="inlineStr">
        <is>
          <t>Q2</t>
        </is>
      </c>
      <c r="C14" t="n">
        <v>788.22</v>
      </c>
      <c r="D14" t="n">
        <v>298.71</v>
      </c>
      <c r="E14" t="n">
        <v>504.4</v>
      </c>
      <c r="F14" t="n">
        <v>19.84</v>
      </c>
      <c r="G14">
        <f>SUM(C14:F14)</f>
        <v/>
      </c>
      <c r="I14" s="34" t="n">
        <v>449.65</v>
      </c>
      <c r="J14" s="3" t="n">
        <v>0.57</v>
      </c>
      <c r="K14" s="34" t="n">
        <v>166.21</v>
      </c>
      <c r="L14" s="3" t="n">
        <v>0.57</v>
      </c>
      <c r="M14" s="34" t="n">
        <v>240.13</v>
      </c>
      <c r="N14" s="3" t="n">
        <v>0.48</v>
      </c>
      <c r="O14" s="34" t="n">
        <v>2.96</v>
      </c>
      <c r="P14" s="3" t="n">
        <v>0.15</v>
      </c>
      <c r="Q14">
        <f>I14+K14+M14+O14</f>
        <v/>
      </c>
      <c r="R14" s="3" t="n">
        <v>0.53</v>
      </c>
    </row>
    <row r="15">
      <c r="A15" t="n">
        <v>2024</v>
      </c>
      <c r="B15" t="inlineStr">
        <is>
          <t>Q3</t>
        </is>
      </c>
      <c r="I15" s="34" t="n"/>
      <c r="J15" s="3" t="n"/>
      <c r="L15" s="3" t="n"/>
      <c r="M15" s="34" t="n"/>
      <c r="N15" s="3" t="n"/>
      <c r="O15" s="34" t="n"/>
      <c r="P15" s="3" t="n"/>
      <c r="R15" s="3" t="n"/>
    </row>
    <row r="16">
      <c r="A16" t="n">
        <v>2024</v>
      </c>
      <c r="B16" t="inlineStr">
        <is>
          <t>Q4</t>
        </is>
      </c>
      <c r="C16" t="n">
        <v>790.22</v>
      </c>
      <c r="D16" t="n">
        <v>350.04</v>
      </c>
      <c r="E16" t="n">
        <v>561.25</v>
      </c>
      <c r="F16" t="n">
        <v>22.95</v>
      </c>
      <c r="G16">
        <f>SUM(C16:F16)</f>
        <v/>
      </c>
      <c r="I16" s="3" t="n">
        <v>441.57</v>
      </c>
      <c r="J16" s="3" t="n">
        <v>0.5600000000000001</v>
      </c>
      <c r="K16" t="n">
        <v>201.97</v>
      </c>
      <c r="L16" s="3" t="n">
        <v>0.58</v>
      </c>
      <c r="M16" s="34" t="n">
        <v>264.6</v>
      </c>
      <c r="N16" s="3" t="n">
        <v>0.47</v>
      </c>
      <c r="O16" s="34" t="n">
        <v>-1.61</v>
      </c>
      <c r="P16" s="3" t="n">
        <v>-0.07000000000000001</v>
      </c>
      <c r="Q16">
        <f>I16+K16+M16+O16</f>
        <v/>
      </c>
      <c r="R16" s="3" t="n">
        <v>0.53</v>
      </c>
    </row>
    <row r="17">
      <c r="J17" s="3" t="n"/>
      <c r="M17" s="34" t="n"/>
      <c r="N17" s="3" t="n"/>
      <c r="O17" s="34" t="n"/>
      <c r="P17" s="3" t="n"/>
      <c r="R17" s="3" t="n"/>
    </row>
    <row r="18">
      <c r="A18" t="n">
        <v>2023</v>
      </c>
      <c r="B18" t="inlineStr">
        <is>
          <t>Q1</t>
        </is>
      </c>
      <c r="J18" s="3" t="n"/>
      <c r="M18" s="34" t="n"/>
      <c r="N18" s="3" t="n"/>
      <c r="O18" s="34" t="n"/>
      <c r="P18" s="3" t="n"/>
    </row>
    <row r="19">
      <c r="A19" t="n">
        <v>2023</v>
      </c>
      <c r="B19" t="inlineStr">
        <is>
          <t>Q2</t>
        </is>
      </c>
      <c r="M19" s="34" t="n"/>
      <c r="N19" s="3" t="n"/>
      <c r="O19" s="34" t="n"/>
      <c r="P19" s="3" t="n"/>
    </row>
    <row r="20">
      <c r="A20" t="n">
        <v>2023</v>
      </c>
      <c r="B20" t="inlineStr">
        <is>
          <t>Q3</t>
        </is>
      </c>
      <c r="M20" s="34" t="n"/>
      <c r="N20" s="3" t="n"/>
    </row>
    <row r="21">
      <c r="A21" t="n">
        <v>2023</v>
      </c>
      <c r="B21" t="inlineStr">
        <is>
          <t>Q4</t>
        </is>
      </c>
      <c r="M21" s="34" t="n"/>
    </row>
  </sheetData>
  <mergeCells count="2">
    <mergeCell ref="I1:R1"/>
    <mergeCell ref="C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Non-IFRS 利润估算（用2025数据预估·腾讯未给指引）</t>
        </is>
      </c>
    </row>
    <row r="2">
      <c r="A2" t="inlineStr">
        <is>
          <t>分部增速参考2026Q1实际；经营开支增速=AI重投入力度(关键变量·见下)</t>
        </is>
      </c>
    </row>
    <row r="3">
      <c r="A3" t="inlineStr">
        <is>
          <t>科目</t>
        </is>
      </c>
      <c r="B3" t="inlineStr">
        <is>
          <t>2025实际</t>
        </is>
      </c>
      <c r="C3" t="inlineStr">
        <is>
          <t>2026增速</t>
        </is>
      </c>
      <c r="D3" t="inlineStr">
        <is>
          <t>2026E</t>
        </is>
      </c>
    </row>
    <row r="4">
      <c r="A4" t="inlineStr">
        <is>
          <t>增值服务收入</t>
        </is>
      </c>
      <c r="B4" t="n">
        <v>3692.81</v>
      </c>
      <c r="C4" t="n">
        <v>0.04</v>
      </c>
      <c r="D4">
        <f>B4*(1+C4)</f>
        <v/>
      </c>
    </row>
    <row r="5">
      <c r="A5" t="inlineStr">
        <is>
          <t>营销服务收入</t>
        </is>
      </c>
      <c r="B5" t="n">
        <v>1449.73</v>
      </c>
      <c r="C5" t="n">
        <v>0.2</v>
      </c>
      <c r="D5">
        <f>B5*(1+C5)</f>
        <v/>
      </c>
    </row>
    <row r="6">
      <c r="A6" t="inlineStr">
        <is>
          <t>金融科技及企业服务</t>
        </is>
      </c>
      <c r="B6" t="n">
        <v>2294.35</v>
      </c>
      <c r="C6" t="n">
        <v>0.09</v>
      </c>
      <c r="D6">
        <f>B6*(1+C6)</f>
        <v/>
      </c>
    </row>
    <row r="7">
      <c r="A7" t="inlineStr">
        <is>
          <t>其他</t>
        </is>
      </c>
      <c r="B7" t="n">
        <v>80.77</v>
      </c>
      <c r="C7" t="n">
        <v>0.05</v>
      </c>
      <c r="D7">
        <f>B7*(1+C7)</f>
        <v/>
      </c>
    </row>
    <row r="8">
      <c r="A8" t="inlineStr">
        <is>
          <t>营业收入合计</t>
        </is>
      </c>
      <c r="B8" t="n">
        <v>7517.66</v>
      </c>
      <c r="D8">
        <f>SUM(D4:D7)</f>
        <v/>
      </c>
    </row>
    <row r="9">
      <c r="A9" t="inlineStr">
        <is>
          <t>毛利率</t>
        </is>
      </c>
      <c r="B9">
        <f>B10/B8</f>
        <v/>
      </c>
      <c r="D9" t="n">
        <v>0.5600000000000001</v>
      </c>
    </row>
    <row r="10">
      <c r="A10" t="inlineStr">
        <is>
          <t>毛利</t>
        </is>
      </c>
      <c r="B10" t="n">
        <v>4225.93</v>
      </c>
      <c r="D10">
        <f>D8*D9</f>
        <v/>
      </c>
    </row>
    <row r="11">
      <c r="A11" t="inlineStr">
        <is>
          <t>Non-IFRS经营开支(销售+管理研发·剔股酬)</t>
        </is>
      </c>
      <c r="B11" t="n">
        <v>1419.37</v>
      </c>
      <c r="C11" t="n">
        <v>0.244</v>
      </c>
      <c r="D11">
        <f>B11*(1+C11)</f>
        <v/>
      </c>
    </row>
    <row r="12">
      <c r="A12" t="inlineStr">
        <is>
          <t>Non-IFRS经营盈利</t>
        </is>
      </c>
      <c r="B12" t="n">
        <v>2806.56</v>
      </c>
      <c r="D12">
        <f>D10-D11</f>
        <v/>
      </c>
    </row>
    <row r="13">
      <c r="A13" t="inlineStr">
        <is>
          <t>归母转化率(非经营净+税+少数·2025实际)</t>
        </is>
      </c>
      <c r="B13">
        <f>B14/B12</f>
        <v/>
      </c>
      <c r="D13" t="n">
        <v>0.9251</v>
      </c>
    </row>
    <row r="14">
      <c r="A14" t="inlineStr">
        <is>
          <t>Non-IFRS归母净利润</t>
        </is>
      </c>
      <c r="B14" t="n">
        <v>2596.26</v>
      </c>
      <c r="D14">
        <f>D12*D13</f>
        <v/>
      </c>
    </row>
    <row r="15">
      <c r="A15" t="inlineStr">
        <is>
          <t>隐含Non-IFRS净利率</t>
        </is>
      </c>
      <c r="B15">
        <f>B14/B8</f>
        <v/>
      </c>
      <c r="D15">
        <f>D14/D8</f>
        <v/>
      </c>
    </row>
    <row r="17">
      <c r="A17" t="inlineStr">
        <is>
          <t>敏感性(关键变量=经营开支增速/AI投入力度, 营收+8.6%·毛利率56%不变):</t>
        </is>
      </c>
    </row>
    <row r="18">
      <c r="A18" t="inlineStr">
        <is>
          <t xml:space="preserve">  经营开支+24.4% → Non-IFRS归母≈2596(持平·采用·=2025) → 净利率34.5%压到31.8%</t>
        </is>
      </c>
    </row>
    <row r="19">
      <c r="A19" t="inlineStr">
        <is>
          <t xml:space="preserve">  经营开支+15%   → Non-IFRS归母≈2720(+4.8%)          → 净利率33.3%</t>
        </is>
      </c>
    </row>
    <row r="20">
      <c r="A20" t="inlineStr">
        <is>
          <t xml:space="preserve">  经营开支+8.6%(同营收) → Non-IFRS归母≈2814(+8.4%)   → 净利率维持34.5%</t>
        </is>
      </c>
    </row>
    <row r="21">
      <c r="A21" t="inlineStr">
        <is>
          <t>注:持平=你的判断(AI重投入年,Q1归母虽+11%但H2 AI开支加码致全年≈平);与估值表2026E=2596一致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zyz</dc:creator>
  <dcterms:created xmlns:dcterms="http://purl.org/dc/terms/" xmlns:xsi="http://www.w3.org/2001/XMLSchema-instance" xsi:type="dcterms:W3CDTF">2015-06-08T02:19:00Z</dcterms:created>
  <dcterms:modified xmlns:dcterms="http://purl.org/dc/terms/" xmlns:xsi="http://www.w3.org/2001/XMLSchema-instance" xsi:type="dcterms:W3CDTF">2026-06-19T02:45:34Z</dcterms:modified>
  <cp:lastModifiedBy>叫我ZYZ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5DA37ADCF10B48819949ED67E40518E2_42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