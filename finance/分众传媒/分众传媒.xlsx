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100" windowHeight="129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<sst xmlns="http://schemas.openxmlformats.org/spreadsheetml/2006/main" count="23" uniqueCount="20">
  <si>
    <t>年份</t>
  </si>
  <si>
    <t>扣非净利润（亿）</t>
  </si>
  <si>
    <t>席勒估值法</t>
  </si>
  <si>
    <t>买卖点历史</t>
  </si>
  <si>
    <t>2014~2023十年平均净利润</t>
  </si>
  <si>
    <t>日期</t>
  </si>
  <si>
    <t>股本（亿）</t>
  </si>
  <si>
    <t>买点(亿)</t>
  </si>
  <si>
    <t>价格</t>
  </si>
  <si>
    <t>卖点一(亿)/价格</t>
  </si>
  <si>
    <t>卖点二(亿)/价格</t>
  </si>
  <si>
    <t>卖点三(亿)/价格</t>
  </si>
  <si>
    <t>合理pe下限(无风险收益率倒数)</t>
  </si>
  <si>
    <t>合理pe上限(无风险收益率倒数)</t>
  </si>
  <si>
    <t>净利润折扣</t>
  </si>
  <si>
    <t>估计市值</t>
  </si>
  <si>
    <t>安全边际下限</t>
  </si>
  <si>
    <t>安全边际上限</t>
  </si>
  <si>
    <t>买点</t>
  </si>
  <si>
    <t>卖点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</si>
</sst>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4">
    <font>
      <sz val="11"/>
      <color theme="1"/>
      <name val="等线"/>
      <charset val="134"/>
      <scheme val="minor"/>
    </font>
    <font>
      <b/>
      <sz val="16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9">
    <xf numFmtId="0" fontId="0" fillId="0" borderId="0" xfId="0"/>
    <xf numFmtId="0" fontId="1" fillId="0" borderId="1" xfId="0" applyFont="1" applyBorder="1"/>
    <xf numFmtId="0" fontId="1" fillId="0" borderId="0" xfId="0" applyFont="1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2" fillId="0" borderId="1" xfId="0" applyFont="1" applyBorder="1"/>
    <xf numFmtId="0" fontId="0" fillId="0" borderId="1" xfId="0" applyFont="1" applyFill="1" applyBorder="1" applyAlignment="1"/>
    <xf numFmtId="0" fontId="1" fillId="0" borderId="0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Border="1"/>
    <xf numFmtId="0" fontId="3" fillId="2" borderId="1" xfId="0" applyFont="1" applyFill="1" applyBorder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 vertical="center"/>
    </xf>
    <xf numFmtId="176" fontId="3" fillId="3" borderId="1" xfId="0" applyNumberFormat="1" applyFont="1" applyFill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8"/>
  <sheetViews>
    <sheetView tabSelected="1" workbookViewId="0">
      <selection activeCell="I1" sqref="I1:R14"/>
    </sheetView>
  </sheetViews>
  <sheetFormatPr defaultColWidth="9" defaultRowHeight="16.8"/>
  <cols>
    <col min="2" max="2" width="23.75" customWidth="1"/>
    <col min="4" max="4" width="30.7857142857143" customWidth="1"/>
    <col min="5" max="5" width="7.57142857142857" customWidth="1"/>
    <col min="6" max="6" width="30.7857142857143" customWidth="1"/>
    <col min="7" max="7" width="8.57142857142857" customWidth="1"/>
    <col min="9" max="9" width="11.2857142857143" customWidth="1"/>
    <col min="10" max="10" width="11.7142857142857" customWidth="1"/>
    <col min="13" max="13" width="16.8571428571429" customWidth="1"/>
    <col min="15" max="15" width="16.8571428571429" customWidth="1"/>
    <col min="17" max="17" width="16.8571428571429" customWidth="1"/>
  </cols>
  <sheetData>
    <row r="1" ht="23.2" spans="1:18">
      <c r="A1" s="1" t="s">
        <v>0</v>
      </c>
      <c r="B1" s="1" t="s">
        <v>1</v>
      </c>
      <c r="C1" s="2"/>
      <c r="D1" s="3" t="s">
        <v>2</v>
      </c>
      <c r="E1" s="3"/>
      <c r="F1" s="3"/>
      <c r="G1" s="3"/>
      <c r="H1" s="7"/>
      <c r="I1" s="11" t="s">
        <v>3</v>
      </c>
      <c r="J1" s="11"/>
      <c r="K1" s="11"/>
      <c r="L1" s="11"/>
      <c r="M1" s="11"/>
      <c r="N1" s="11"/>
      <c r="O1" s="11"/>
      <c r="P1" s="11"/>
      <c r="Q1" s="11"/>
      <c r="R1" s="11"/>
    </row>
    <row r="2" spans="1:18">
      <c r="A2" s="4">
        <v>2025</v>
      </c>
      <c r="B2" s="5">
        <v>52</v>
      </c>
      <c r="D2" s="4" t="s">
        <v>4</v>
      </c>
      <c r="E2" s="8">
        <f>SUM(B2:B11)/10</f>
        <v>46.193</v>
      </c>
      <c r="F2" s="8"/>
      <c r="G2" s="8"/>
      <c r="H2" s="9"/>
      <c r="I2" s="12" t="s">
        <v>5</v>
      </c>
      <c r="J2" s="12" t="s">
        <v>6</v>
      </c>
      <c r="K2" s="12" t="s">
        <v>7</v>
      </c>
      <c r="L2" s="12" t="s">
        <v>8</v>
      </c>
      <c r="M2" s="12" t="s">
        <v>9</v>
      </c>
      <c r="N2" s="12" t="s">
        <v>8</v>
      </c>
      <c r="O2" s="12" t="s">
        <v>10</v>
      </c>
      <c r="P2" s="12" t="s">
        <v>8</v>
      </c>
      <c r="Q2" s="12" t="s">
        <v>11</v>
      </c>
      <c r="R2" s="12" t="s">
        <v>8</v>
      </c>
    </row>
    <row r="3" spans="1:18">
      <c r="A3" s="6">
        <v>2024</v>
      </c>
      <c r="B3" s="6">
        <v>51.55</v>
      </c>
      <c r="D3" s="4" t="s">
        <v>12</v>
      </c>
      <c r="E3" s="4">
        <v>25</v>
      </c>
      <c r="F3" s="4" t="s">
        <v>13</v>
      </c>
      <c r="G3" s="4">
        <v>30</v>
      </c>
      <c r="H3" s="9"/>
      <c r="I3" s="13">
        <v>45746</v>
      </c>
      <c r="J3" s="14">
        <v>144.4</v>
      </c>
      <c r="K3" s="15">
        <v>730</v>
      </c>
      <c r="L3" s="15">
        <f>K3/J3</f>
        <v>5.05540166204986</v>
      </c>
      <c r="M3" s="15">
        <v>1300</v>
      </c>
      <c r="N3" s="15">
        <f>M3/J3</f>
        <v>9.00277008310249</v>
      </c>
      <c r="O3" s="15">
        <f>M3*1.1</f>
        <v>1430</v>
      </c>
      <c r="P3" s="15">
        <f>O3/J3</f>
        <v>9.90304709141274</v>
      </c>
      <c r="Q3" s="15">
        <f>O3*1.1</f>
        <v>1573</v>
      </c>
      <c r="R3" s="14">
        <f>Q3/J3</f>
        <v>10.893351800554</v>
      </c>
    </row>
    <row r="4" spans="1:18">
      <c r="A4" s="6">
        <v>2023</v>
      </c>
      <c r="B4" s="6">
        <v>48.27</v>
      </c>
      <c r="D4" s="4" t="s">
        <v>14</v>
      </c>
      <c r="E4" s="8">
        <v>1</v>
      </c>
      <c r="F4" s="8"/>
      <c r="G4" s="8"/>
      <c r="H4" s="9"/>
      <c r="I4" s="13">
        <v>45781</v>
      </c>
      <c r="J4" s="14">
        <v>144.4</v>
      </c>
      <c r="K4" s="14">
        <v>800</v>
      </c>
      <c r="L4" s="15">
        <f>K4/J4</f>
        <v>5.54016620498615</v>
      </c>
      <c r="M4" s="14">
        <v>1400</v>
      </c>
      <c r="N4" s="15">
        <f>M4/J4</f>
        <v>9.69529085872576</v>
      </c>
      <c r="O4" s="15">
        <f>M4*1.1</f>
        <v>1540</v>
      </c>
      <c r="P4" s="15">
        <f>O4/J4</f>
        <v>10.6648199445983</v>
      </c>
      <c r="Q4" s="15">
        <f>O4*1.1</f>
        <v>1694</v>
      </c>
      <c r="R4" s="14">
        <f>Q4/J4</f>
        <v>11.7313019390582</v>
      </c>
    </row>
    <row r="5" spans="1:18">
      <c r="A5" s="6">
        <v>2022</v>
      </c>
      <c r="B5" s="6">
        <v>27.9</v>
      </c>
      <c r="D5" s="4" t="s">
        <v>15</v>
      </c>
      <c r="E5" s="10">
        <f>E2*E3*E4</f>
        <v>1154.825</v>
      </c>
      <c r="F5" s="4"/>
      <c r="G5" s="10">
        <f>E2*G3*E4</f>
        <v>1385.79</v>
      </c>
      <c r="H5" s="9"/>
      <c r="I5" s="12"/>
      <c r="J5" s="14"/>
      <c r="K5" s="14"/>
      <c r="L5" s="14"/>
      <c r="M5" s="16"/>
      <c r="N5" s="16"/>
      <c r="O5" s="17"/>
      <c r="P5" s="17"/>
      <c r="Q5" s="17"/>
      <c r="R5" s="16"/>
    </row>
    <row r="6" spans="1:18">
      <c r="A6" s="6">
        <v>2021</v>
      </c>
      <c r="B6" s="6">
        <v>60.63</v>
      </c>
      <c r="D6" s="4" t="s">
        <v>16</v>
      </c>
      <c r="E6" s="4">
        <v>0.7</v>
      </c>
      <c r="F6" s="4" t="s">
        <v>17</v>
      </c>
      <c r="G6" s="4">
        <v>1.5</v>
      </c>
      <c r="H6" s="9"/>
      <c r="I6" s="12"/>
      <c r="J6" s="14"/>
      <c r="K6" s="14"/>
      <c r="L6" s="14"/>
      <c r="M6" s="14"/>
      <c r="N6" s="14"/>
      <c r="O6" s="18"/>
      <c r="P6" s="18"/>
      <c r="Q6" s="18"/>
      <c r="R6" s="14"/>
    </row>
    <row r="7" spans="1:18">
      <c r="A7" s="6">
        <v>2020</v>
      </c>
      <c r="B7" s="6">
        <v>40.04</v>
      </c>
      <c r="D7" s="4" t="s">
        <v>18</v>
      </c>
      <c r="E7" s="4">
        <f>E5*E6</f>
        <v>808.3775</v>
      </c>
      <c r="F7" s="4" t="s">
        <v>19</v>
      </c>
      <c r="G7" s="4">
        <f>G5*G6</f>
        <v>2078.685</v>
      </c>
      <c r="H7" s="9"/>
      <c r="I7" s="12"/>
      <c r="J7" s="14"/>
      <c r="K7" s="14"/>
      <c r="L7" s="14"/>
      <c r="M7" s="14"/>
      <c r="N7" s="14"/>
      <c r="O7" s="14"/>
      <c r="P7" s="14"/>
      <c r="Q7" s="14"/>
      <c r="R7" s="14"/>
    </row>
    <row r="8" spans="1:18">
      <c r="A8" s="6">
        <v>2019</v>
      </c>
      <c r="B8" s="6">
        <v>18.75</v>
      </c>
      <c r="I8" s="12"/>
      <c r="J8" s="14"/>
      <c r="K8" s="14"/>
      <c r="L8" s="14"/>
      <c r="M8" s="14"/>
      <c r="N8" s="14"/>
      <c r="O8" s="14"/>
      <c r="P8" s="14"/>
      <c r="Q8" s="14"/>
      <c r="R8" s="14"/>
    </row>
    <row r="9" spans="1:18">
      <c r="A9" s="6">
        <v>2018</v>
      </c>
      <c r="B9" s="6">
        <v>58.23</v>
      </c>
      <c r="I9" s="12"/>
      <c r="J9" s="14"/>
      <c r="K9" s="14"/>
      <c r="L9" s="14"/>
      <c r="M9" s="14"/>
      <c r="N9" s="14"/>
      <c r="O9" s="14"/>
      <c r="P9" s="14"/>
      <c r="Q9" s="14"/>
      <c r="R9" s="14"/>
    </row>
    <row r="10" spans="1:18">
      <c r="A10" s="6">
        <v>2017</v>
      </c>
      <c r="B10" s="6">
        <v>60.05</v>
      </c>
      <c r="I10" s="12"/>
      <c r="J10" s="14"/>
      <c r="K10" s="14"/>
      <c r="L10" s="14"/>
      <c r="M10" s="14"/>
      <c r="N10" s="14"/>
      <c r="O10" s="14"/>
      <c r="P10" s="14"/>
      <c r="Q10" s="14"/>
      <c r="R10" s="14"/>
    </row>
    <row r="11" spans="1:18">
      <c r="A11" s="6">
        <v>2016</v>
      </c>
      <c r="B11" s="6">
        <v>44.51</v>
      </c>
      <c r="I11" s="12"/>
      <c r="J11" s="14"/>
      <c r="K11" s="14"/>
      <c r="L11" s="14"/>
      <c r="M11" s="14"/>
      <c r="N11" s="14"/>
      <c r="O11" s="14"/>
      <c r="P11" s="14"/>
      <c r="Q11" s="14"/>
      <c r="R11" s="14"/>
    </row>
    <row r="12" spans="1:18">
      <c r="A12" s="6">
        <v>2015</v>
      </c>
      <c r="B12" s="6">
        <v>33.89</v>
      </c>
      <c r="I12" s="12"/>
      <c r="J12" s="14"/>
      <c r="K12" s="14"/>
      <c r="L12" s="14"/>
      <c r="M12" s="14"/>
      <c r="N12" s="14"/>
      <c r="O12" s="14"/>
      <c r="P12" s="14"/>
      <c r="Q12" s="14"/>
      <c r="R12" s="14"/>
    </row>
    <row r="13" spans="1:18">
      <c r="A13" s="6">
        <v>2014</v>
      </c>
      <c r="B13" s="6">
        <v>24.15</v>
      </c>
      <c r="I13" s="12"/>
      <c r="J13" s="14"/>
      <c r="K13" s="14"/>
      <c r="L13" s="14"/>
      <c r="M13" s="14"/>
      <c r="N13" s="14"/>
      <c r="O13" s="14"/>
      <c r="P13" s="14"/>
      <c r="Q13" s="14"/>
      <c r="R13" s="14"/>
    </row>
    <row r="14" spans="1:18">
      <c r="A14" s="4"/>
      <c r="B14" s="4"/>
      <c r="I14" s="12"/>
      <c r="J14" s="14"/>
      <c r="K14" s="14"/>
      <c r="L14" s="14"/>
      <c r="M14" s="14"/>
      <c r="N14" s="14"/>
      <c r="O14" s="14"/>
      <c r="P14" s="14"/>
      <c r="Q14" s="14"/>
      <c r="R14" s="14"/>
    </row>
    <row r="15" spans="1:2">
      <c r="A15" s="4"/>
      <c r="B15" s="4"/>
    </row>
    <row r="16" spans="1:2">
      <c r="A16" s="4"/>
      <c r="B16" s="4"/>
    </row>
    <row r="17" spans="1:2">
      <c r="A17" s="4"/>
      <c r="B17" s="4"/>
    </row>
    <row r="18" spans="1:2">
      <c r="A18" s="4"/>
      <c r="B18" s="4"/>
    </row>
  </sheetData>
  <mergeCells count="4">
    <mergeCell ref="D1:G1"/>
    <mergeCell ref="I1:R1"/>
    <mergeCell ref="E2:G2"/>
    <mergeCell ref="E4:G4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zyz</dc:creator>
  <cp:lastModifiedBy>叫我ZYZ</cp:lastModifiedBy>
  <dcterms:created xsi:type="dcterms:W3CDTF">2015-06-06T10:19:00Z</dcterms:created>
  <dcterms:modified xsi:type="dcterms:W3CDTF">2025-06-14T15:54:48Z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6D24D55B128443393CF416687FF529AB_42</vt:lpwstr>
  </property>
  <property fmtid="{D5CDD505-2E9C-101B-9397-08002B2CF9AE}" pid="3" name="KSOProductBuildVer">
    <vt:lpwstr>2052-6.14.0.8924</vt:lpwstr>
  </property>
</Properties>
</file>