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9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<sst xmlns="http://schemas.openxmlformats.org/spreadsheetml/2006/main" count="20" uniqueCount="20">
  <si>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列宽</t>
  </si>
  <si>
    <t>序号</t>
  </si>
  <si>
    <t>企业</t>
  </si>
  <si>
    <t>仓位</t>
  </si>
  <si>
    <t>给予的最大仓位</t>
  </si>
  <si>
    <t>行高</t>
  </si>
  <si>
    <t>腾讯控股</t>
  </si>
  <si>
    <t>贵州茅台</t>
  </si>
  <si>
    <t>分众传媒</t>
  </si>
  <si>
    <t>古井贡B</t>
  </si>
  <si>
    <t>安踏体育</t>
  </si>
  <si>
    <t>洋河股份</t>
  </si>
  <si>
    <t>赛力斯</t>
  </si>
  <si>
    <t>海康威视</t>
  </si>
  <si>
    <t>TX</t>
  </si>
  <si>
    <t>MT</t>
  </si>
  <si>
    <t>FZ</t>
  </si>
  <si>
    <t>GJ</t>
  </si>
  <si>
    <t>YH</t>
  </si>
  <si>
    <t>HK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</si>
</sst>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ajor"/>
    </font>
    <font>
      <sz val="11"/>
      <color theme="1" tint="0.35"/>
      <name val="宋体"/>
      <charset val="134"/>
      <scheme val="minor"/>
    </font>
    <font>
      <sz val="9"/>
      <color rgb="FF000000"/>
      <name val="SimSun"/>
      <charset val="134"/>
    </font>
    <font>
      <sz val="15"/>
      <color rgb="FF22222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9" applyNumberFormat="0" applyAlignment="0" applyProtection="0">
      <alignment vertical="center"/>
    </xf>
    <xf numFmtId="0" fontId="14" fillId="5" borderId="20" applyNumberFormat="0" applyAlignment="0" applyProtection="0">
      <alignment vertical="center"/>
    </xf>
    <xf numFmtId="0" fontId="15" fillId="5" borderId="19" applyNumberFormat="0" applyAlignment="0" applyProtection="0">
      <alignment vertical="center"/>
    </xf>
    <xf numFmtId="0" fontId="16" fillId="6" borderId="21" applyNumberFormat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10" fontId="2" fillId="2" borderId="6" xfId="0" applyNumberFormat="1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10" fontId="2" fillId="2" borderId="9" xfId="0" applyNumberFormat="1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1" fillId="2" borderId="12" xfId="0" applyFont="1" applyFill="1" applyBorder="1">
      <alignment vertical="center"/>
    </xf>
    <xf numFmtId="10" fontId="2" fillId="2" borderId="13" xfId="0" applyNumberFormat="1" applyFont="1" applyFill="1" applyBorder="1" applyAlignment="1">
      <alignment horizontal="left" vertical="center"/>
    </xf>
    <xf numFmtId="10" fontId="2" fillId="2" borderId="14" xfId="0" applyNumberFormat="1" applyFont="1" applyFill="1" applyBorder="1" applyAlignment="1">
      <alignment horizontal="left" vertical="center"/>
    </xf>
    <xf numFmtId="10" fontId="2" fillId="2" borderId="15" xfId="0" applyNumberFormat="1" applyFont="1" applyFill="1" applyBorder="1" applyAlignment="1">
      <alignment horizontal="left" vertical="center"/>
    </xf>
    <xf numFmtId="4" fontId="3" fillId="0" borderId="0" xfId="0" applyNumberFormat="1" applyFont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21"/>
  <sheetViews>
    <sheetView tabSelected="1" workbookViewId="0">
      <selection activeCell="E15" sqref="E15"/>
    </sheetView>
  </sheetViews>
  <sheetFormatPr defaultColWidth="9.23076923076923" defaultRowHeight="16.8"/>
  <cols>
    <col min="1" max="1" width="9.29807692307692" customWidth="1"/>
    <col min="2" max="4" width="15.6923076923077" customWidth="1"/>
    <col min="5" max="5" width="22" customWidth="1"/>
    <col min="15" max="15" width="10.6923076923077"/>
    <col min="16" max="16" width="11.7692307692308"/>
    <col min="18" max="18" width="11.7692307692308"/>
  </cols>
  <sheetData>
    <row r="1" ht="20" customHeight="1" spans="9:10">
      <c r="I1" t="s">
        <v>0</v>
      </c>
      <c r="J1">
        <v>15</v>
      </c>
    </row>
    <row r="2" ht="20" customHeight="1" spans="2:10">
      <c r="B2" s="1" t="s">
        <v>1</v>
      </c>
      <c r="C2" s="2" t="s">
        <v>2</v>
      </c>
      <c r="D2" s="3" t="s">
        <v>3</v>
      </c>
      <c r="E2" s="12" t="s">
        <v>4</v>
      </c>
      <c r="I2" t="s">
        <v>5</v>
      </c>
      <c r="J2">
        <v>20</v>
      </c>
    </row>
    <row r="3" ht="20" customHeight="1" spans="2:5">
      <c r="B3" s="4">
        <v>1</v>
      </c>
      <c r="C3" s="5" t="s">
        <v>6</v>
      </c>
      <c r="D3" s="6">
        <v>0.6169</v>
      </c>
      <c r="E3" s="13">
        <v>0.4</v>
      </c>
    </row>
    <row r="4" ht="20" customHeight="1" spans="2:5">
      <c r="B4" s="4">
        <v>2</v>
      </c>
      <c r="C4" s="5" t="s">
        <v>7</v>
      </c>
      <c r="D4" s="6">
        <v>0.1756</v>
      </c>
      <c r="E4" s="13">
        <v>0.4</v>
      </c>
    </row>
    <row r="5" ht="20" customHeight="1" spans="2:5">
      <c r="B5" s="4">
        <v>3</v>
      </c>
      <c r="C5" s="5" t="s">
        <v>8</v>
      </c>
      <c r="D5" s="6">
        <v>0.0818</v>
      </c>
      <c r="E5" s="13">
        <v>0.15</v>
      </c>
    </row>
    <row r="6" ht="20" customHeight="1" spans="2:5">
      <c r="B6" s="4">
        <v>4</v>
      </c>
      <c r="C6" s="5" t="s">
        <v>9</v>
      </c>
      <c r="D6" s="6">
        <v>0.055</v>
      </c>
      <c r="E6" s="13">
        <v>0.15</v>
      </c>
    </row>
    <row r="7" ht="20" customHeight="1" spans="2:5">
      <c r="B7" s="4">
        <v>5</v>
      </c>
      <c r="C7" s="5" t="s">
        <v>10</v>
      </c>
      <c r="D7" s="6">
        <v>0.0277</v>
      </c>
      <c r="E7" s="13">
        <v>0.1</v>
      </c>
    </row>
    <row r="8" ht="20" customHeight="1" spans="2:5">
      <c r="B8" s="4">
        <v>6</v>
      </c>
      <c r="C8" s="5" t="s">
        <v>11</v>
      </c>
      <c r="D8" s="6">
        <v>0.0194</v>
      </c>
      <c r="E8" s="13">
        <v>0.1</v>
      </c>
    </row>
    <row r="9" ht="20" customHeight="1" spans="2:5">
      <c r="B9" s="7">
        <v>7</v>
      </c>
      <c r="C9" s="8" t="s">
        <v>12</v>
      </c>
      <c r="D9" s="9">
        <v>0.0123</v>
      </c>
      <c r="E9" s="14">
        <v>0.05</v>
      </c>
    </row>
    <row r="10" ht="20" customHeight="1" spans="2:5">
      <c r="B10" s="10">
        <v>8</v>
      </c>
      <c r="C10" s="11" t="s">
        <v>13</v>
      </c>
      <c r="D10" s="9">
        <v>0.0114</v>
      </c>
      <c r="E10" s="15">
        <v>0.05</v>
      </c>
    </row>
    <row r="13" spans="10:15">
      <c r="J13" t="s">
        <v>14</v>
      </c>
      <c r="M13">
        <v>7650</v>
      </c>
      <c r="N13">
        <v>0.917</v>
      </c>
      <c r="O13">
        <f>M13*N13</f>
        <v>7015.05</v>
      </c>
    </row>
    <row r="14" spans="10:15">
      <c r="J14" t="s">
        <v>15</v>
      </c>
      <c r="L14">
        <v>4776.4</v>
      </c>
      <c r="M14">
        <v>5534.6</v>
      </c>
      <c r="O14">
        <f>L14+M14</f>
        <v>10311</v>
      </c>
    </row>
    <row r="15" spans="10:15">
      <c r="J15" t="s">
        <v>16</v>
      </c>
      <c r="L15">
        <v>1400</v>
      </c>
      <c r="M15">
        <v>4002</v>
      </c>
      <c r="O15">
        <f>L15+M15</f>
        <v>5402</v>
      </c>
    </row>
    <row r="16" ht="22" spans="10:15">
      <c r="J16" t="s">
        <v>17</v>
      </c>
      <c r="L16">
        <v>1191.3</v>
      </c>
      <c r="M16">
        <v>6001.6</v>
      </c>
      <c r="N16" s="17">
        <v>0.917</v>
      </c>
      <c r="O16">
        <f>(L16+M16)*N16</f>
        <v>6595.8893</v>
      </c>
    </row>
    <row r="17" spans="10:15">
      <c r="J17" t="s">
        <v>18</v>
      </c>
      <c r="L17">
        <v>1165</v>
      </c>
      <c r="M17">
        <v>1158</v>
      </c>
      <c r="O17">
        <f>L17+M17</f>
        <v>2323</v>
      </c>
    </row>
    <row r="18" spans="10:15">
      <c r="J18" t="s">
        <v>19</v>
      </c>
      <c r="K18" s="16"/>
      <c r="L18" s="16"/>
      <c r="M18">
        <v>420</v>
      </c>
      <c r="O18">
        <v>420</v>
      </c>
    </row>
    <row r="20" spans="16:17">
      <c r="P20">
        <f>SUM(O13:O18)</f>
        <v>32066.9393</v>
      </c>
      <c r="Q20">
        <v>1478000</v>
      </c>
    </row>
    <row r="21" spans="18:18">
      <c r="R21">
        <f>P20/Q20</f>
        <v>0.0216961700270636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zhaoyongzhen</dc:creator>
  <cp:lastModifiedBy>叫我ZYZ</cp:lastModifiedBy>
  <dcterms:created xsi:type="dcterms:W3CDTF">2025-05-16T12:29:00Z</dcterms:created>
  <dcterms:modified xsi:type="dcterms:W3CDTF">2026-01-08T16:44:03Z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83E955120AE7444710F51D6813BFB600_41</vt:lpwstr>
  </property>
  <property fmtid="{D5CDD505-2E9C-101B-9397-08002B2CF9AE}" pid="3" name="KSOProductBuildVer">
    <vt:lpwstr>2052-6.14.0.8924</vt:lpwstr>
  </property>
</Properties>
</file>