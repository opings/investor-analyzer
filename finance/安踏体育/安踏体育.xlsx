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经调整归母#(含Amer分占·亿)</t>
        </is>
      </c>
      <c r="C1" t="inlineStr">
        <is>
          <t>增速</t>
        </is>
      </c>
      <c r="E1" t="inlineStr">
        <is>
          <t>【A】自有品牌估值(剔Amer)</t>
        </is>
      </c>
      <c r="J1" t="inlineStr">
        <is>
          <t>日期</t>
        </is>
      </c>
      <c r="K1" t="inlineStr">
        <is>
          <t>股本(亿)</t>
        </is>
      </c>
      <c r="L1" t="inlineStr">
        <is>
          <t>合计买点(亿)</t>
        </is>
      </c>
      <c r="M1" t="inlineStr">
        <is>
          <t>价/港</t>
        </is>
      </c>
      <c r="N1" t="inlineStr">
        <is>
          <t>合计卖一(亿)</t>
        </is>
      </c>
      <c r="O1" t="inlineStr">
        <is>
          <t>价/港</t>
        </is>
      </c>
      <c r="P1" t="inlineStr">
        <is>
          <t>合计卖二(亿)</t>
        </is>
      </c>
      <c r="Q1" t="inlineStr">
        <is>
          <t>价/港</t>
        </is>
      </c>
      <c r="R1" t="inlineStr">
        <is>
          <t>合计卖三(亿)</t>
        </is>
      </c>
      <c r="S1" t="inlineStr">
        <is>
          <t>价/港</t>
        </is>
      </c>
    </row>
    <row r="2">
      <c r="A2" t="n">
        <v>2025</v>
      </c>
      <c r="B2" t="n">
        <v>135.88</v>
      </c>
      <c r="C2">
        <f>(B2-B3)/B3</f>
        <v/>
      </c>
      <c r="E2" t="inlineStr">
        <is>
          <t>2025自有归母(=135.88-12.03)</t>
        </is>
      </c>
      <c r="F2" t="n">
        <v>123.85</v>
      </c>
      <c r="J2" s="1" t="n">
        <v>46192</v>
      </c>
      <c r="K2" t="n">
        <v>27.97</v>
      </c>
      <c r="L2" t="n">
        <v>2678</v>
      </c>
      <c r="M2">
        <f>L2/K2/0.92</f>
        <v/>
      </c>
      <c r="N2" t="n">
        <v>7008</v>
      </c>
      <c r="O2">
        <f>N2/K2/0.92</f>
        <v/>
      </c>
      <c r="P2" t="n">
        <v>7671</v>
      </c>
      <c r="Q2">
        <f>P2/K2/0.92</f>
        <v/>
      </c>
      <c r="R2" t="n">
        <v>8333</v>
      </c>
      <c r="S2">
        <f>R2/K2/0.92</f>
        <v/>
      </c>
    </row>
    <row r="3">
      <c r="A3" t="n">
        <v>2024</v>
      </c>
      <c r="B3" t="n">
        <v>119.27</v>
      </c>
      <c r="C3">
        <f>(B3-B4)/B4</f>
        <v/>
      </c>
      <c r="E3" t="inlineStr">
        <is>
          <t>2026自有增速</t>
        </is>
      </c>
      <c r="F3" t="n">
        <v>0.07000000000000001</v>
      </c>
    </row>
    <row r="4">
      <c r="A4" t="n">
        <v>2023</v>
      </c>
      <c r="B4" t="n">
        <v>102.36</v>
      </c>
      <c r="C4">
        <f>(B4-B5)/B5</f>
        <v/>
      </c>
      <c r="E4" t="inlineStr">
        <is>
          <t>当年自有净利(2026E)</t>
        </is>
      </c>
      <c r="F4">
        <f>F2*(1+F3)</f>
        <v/>
      </c>
    </row>
    <row r="5">
      <c r="A5" t="n">
        <v>2022</v>
      </c>
      <c r="B5" t="n">
        <v>75.90000000000001</v>
      </c>
      <c r="C5">
        <f>(B5-B6)/B6</f>
        <v/>
      </c>
      <c r="E5" t="inlineStr">
        <is>
          <t>前瞻增速(2027-29)</t>
        </is>
      </c>
      <c r="F5" t="n">
        <v>0.08</v>
      </c>
    </row>
    <row r="6">
      <c r="A6" t="n">
        <v>2021</v>
      </c>
      <c r="B6" t="n">
        <v>77.2</v>
      </c>
      <c r="C6">
        <f>(B6-B7)/B7</f>
        <v/>
      </c>
      <c r="E6" t="inlineStr">
        <is>
          <t>3年后自有净利(2029)</t>
        </is>
      </c>
      <c r="F6">
        <f>F4*(1+F5)^3</f>
        <v/>
      </c>
    </row>
    <row r="7">
      <c r="A7" t="n">
        <v>2020</v>
      </c>
      <c r="B7" t="n">
        <v>51.62</v>
      </c>
      <c r="C7">
        <f>(B7-B8)/B8</f>
        <v/>
      </c>
      <c r="E7" t="inlineStr">
        <is>
          <t>合理PE(无风险倒数)</t>
        </is>
      </c>
      <c r="F7" t="n">
        <v>27.5</v>
      </c>
    </row>
    <row r="8">
      <c r="A8" t="n">
        <v>2019</v>
      </c>
      <c r="B8" t="n">
        <v>53.44</v>
      </c>
      <c r="C8">
        <f>(B8-B9)/B9</f>
        <v/>
      </c>
      <c r="E8" t="inlineStr">
        <is>
          <t>自有三年后合理市值</t>
        </is>
      </c>
      <c r="F8">
        <f>F6*F7</f>
        <v/>
      </c>
    </row>
    <row r="9">
      <c r="A9" t="n">
        <v>2018</v>
      </c>
      <c r="B9" t="n">
        <v>41.03</v>
      </c>
      <c r="C9">
        <f>(B9-B10)/B10</f>
        <v/>
      </c>
      <c r="E9" t="inlineStr">
        <is>
          <t>安全边际</t>
        </is>
      </c>
      <c r="F9" t="n">
        <v>0.5</v>
      </c>
    </row>
    <row r="10">
      <c r="A10" t="n">
        <v>2017</v>
      </c>
      <c r="B10" t="n">
        <v>30.88</v>
      </c>
      <c r="C10">
        <f>(B10-B11)/B11</f>
        <v/>
      </c>
      <c r="E10" t="inlineStr">
        <is>
          <t>自有品牌买点</t>
        </is>
      </c>
      <c r="F10">
        <f>F8*F9</f>
        <v/>
      </c>
    </row>
    <row r="11">
      <c r="A11" t="n">
        <v>2016</v>
      </c>
      <c r="B11" t="n">
        <v>23.86</v>
      </c>
      <c r="E11" t="inlineStr">
        <is>
          <t>自有卖点一(当年自有×50)</t>
        </is>
      </c>
      <c r="F11">
        <f>F4*50</f>
        <v/>
      </c>
    </row>
    <row r="12">
      <c r="E12" t="inlineStr">
        <is>
          <t>自有卖点二(×55)</t>
        </is>
      </c>
      <c r="F12">
        <f>F4*55</f>
        <v/>
      </c>
    </row>
    <row r="13">
      <c r="A13" t="inlineStr">
        <is>
          <t>注: 2021-25=经调整归母#(2024剔上市一次性,含分占Amer); 2016-20=报告归母(16-18无Amer,19-20含Amer分占亏损); 估值用自有品牌123.85(剔Amer)见E列</t>
        </is>
      </c>
      <c r="E13" t="inlineStr">
        <is>
          <t>自有卖点三(×60)</t>
        </is>
      </c>
      <c r="F13">
        <f>F4*60</f>
        <v/>
      </c>
    </row>
    <row r="15">
      <c r="E15" t="inlineStr">
        <is>
          <t>【B】Amer股权(NYSE:AS)</t>
        </is>
      </c>
    </row>
    <row r="16">
      <c r="E16" t="inlineStr">
        <is>
          <t>持股%</t>
        </is>
      </c>
      <c r="F16" t="n">
        <v>0.3777</v>
      </c>
    </row>
    <row r="17">
      <c r="E17" t="inlineStr">
        <is>
          <t>Amer市值(亿美元)</t>
        </is>
      </c>
      <c r="F17" t="n">
        <v>200.8</v>
      </c>
    </row>
    <row r="18">
      <c r="E18" t="inlineStr">
        <is>
          <t>USD/RMB</t>
        </is>
      </c>
      <c r="F18" t="n">
        <v>7.2</v>
      </c>
    </row>
    <row r="19">
      <c r="E19" t="inlineStr">
        <is>
          <t>Amer股权市值(亿RMB)</t>
        </is>
      </c>
      <c r="F19">
        <f>F16*F17*F18</f>
        <v/>
      </c>
    </row>
    <row r="20">
      <c r="E20" t="inlineStr">
        <is>
          <t>Amer账面价(保守底)</t>
        </is>
      </c>
      <c r="F20" t="n">
        <v>164.53</v>
      </c>
    </row>
    <row r="21">
      <c r="E21" t="inlineStr">
        <is>
          <t>Amer采用(市值×0.7折)</t>
        </is>
      </c>
      <c r="F21">
        <f>F19*0.7</f>
        <v/>
      </c>
    </row>
    <row r="23">
      <c r="E23" t="inlineStr">
        <is>
          <t>【C】合计=自有+Amer</t>
        </is>
      </c>
    </row>
    <row r="24">
      <c r="E24" t="inlineStr">
        <is>
          <t>合计买点市值(亿)</t>
        </is>
      </c>
      <c r="F24">
        <f>F10+F21</f>
        <v/>
      </c>
    </row>
    <row r="25">
      <c r="E25" t="inlineStr">
        <is>
          <t>股本(亿)</t>
        </is>
      </c>
      <c r="F25" t="n">
        <v>27.97</v>
      </c>
    </row>
    <row r="26">
      <c r="E26" t="inlineStr">
        <is>
          <t>合计买点(人民币/股)</t>
        </is>
      </c>
      <c r="F26">
        <f>F24/F25</f>
        <v/>
      </c>
    </row>
    <row r="27">
      <c r="E27" t="inlineStr">
        <is>
          <t>合计买点(港元≈/0.92)</t>
        </is>
      </c>
      <c r="F27">
        <f>F26/0.92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2026-06-19T07:13:38Z</dcterms:created>
  <dcterms:modified xmlns:dcterms="http://purl.org/dc/terms/" xmlns:xsi="http://www.w3.org/2001/XMLSchema-instance" xsi:type="dcterms:W3CDTF">2026-06-19T10:48:43Z</dcterms:modified>
</cp:coreProperties>
</file>